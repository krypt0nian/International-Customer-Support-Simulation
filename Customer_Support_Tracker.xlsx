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bookViews>
    <workbookView xWindow="0" yWindow="0" windowWidth="16380" windowHeight="8196" tabRatio="500"/>
  </bookViews>
  <sheets>
    <sheet name="How to Use" sheetId="1" r:id="rId1"/>
    <sheet name="Support Tracker" sheetId="2" r:id="rId2"/>
    <sheet name="Customer Scenarios" sheetId="3" r:id="rId3"/>
    <sheet name="Dashboard" sheetId="4" r:id="rId4"/>
    <sheet name="Lists" sheetId="5" r:id="rId5"/>
  </sheets>
  <definedNames>
    <definedName name="_xlnm._FilterDatabase" localSheetId="1" hidden="1">'Support Tracker'!$A$4:$T$204</definedName>
    <definedName name="Category_List">Lists!$D$5:$D$13</definedName>
    <definedName name="Channel_List">Lists!$E$5:$E$9</definedName>
    <definedName name="Priority_List">Lists!$B$5:$B$8</definedName>
    <definedName name="SLA_Days">Lists!$C$5:$C$8</definedName>
    <definedName name="Status_List">Lists!$A$5:$A$11</definedName>
    <definedName name="YesNo_List">Lists!$F$5:$F$6</definedName>
  </definedNames>
  <calcPr calcId="124519" iterateDelta="1E-4"/>
  <extLst>
    <ext xmlns:loext="http://schemas.libreoffice.org/" uri="{7626C862-2A13-11E5-B345-FEFF819CDC9F}">
      <loext:extCalcPr stringRefSyntax="ExcelA1"/>
    </ext>
  </extLst>
</workbook>
</file>

<file path=xl/calcChain.xml><?xml version="1.0" encoding="utf-8"?>
<calcChain xmlns="http://schemas.openxmlformats.org/spreadsheetml/2006/main">
  <c r="A42" i="4"/>
  <c r="B42" s="1"/>
  <c r="A41"/>
  <c r="B41" s="1"/>
  <c r="A40"/>
  <c r="B40" s="1"/>
  <c r="A39"/>
  <c r="B39" s="1"/>
  <c r="A38"/>
  <c r="B38" s="1"/>
  <c r="A37"/>
  <c r="B37" s="1"/>
  <c r="A36"/>
  <c r="B36" s="1"/>
  <c r="A35"/>
  <c r="B35" s="1"/>
  <c r="A34"/>
  <c r="B34" s="1"/>
  <c r="A31"/>
  <c r="B31" s="1"/>
  <c r="A30"/>
  <c r="B30" s="1"/>
  <c r="A29"/>
  <c r="B29" s="1"/>
  <c r="A28"/>
  <c r="B28" s="1"/>
  <c r="A24"/>
  <c r="B24" s="1"/>
  <c r="A23"/>
  <c r="B23" s="1"/>
  <c r="A22"/>
  <c r="B22" s="1"/>
  <c r="A21"/>
  <c r="B21" s="1"/>
  <c r="A20"/>
  <c r="B20" s="1"/>
  <c r="A19"/>
  <c r="B19" s="1"/>
  <c r="A18"/>
  <c r="B18" s="1"/>
  <c r="B9"/>
  <c r="B7"/>
  <c r="B8" s="1"/>
  <c r="B5"/>
  <c r="B10" s="1"/>
  <c r="T204" i="2"/>
  <c r="S204"/>
  <c r="R204"/>
  <c r="Q204"/>
  <c r="T203"/>
  <c r="S203"/>
  <c r="R203"/>
  <c r="Q203"/>
  <c r="T202"/>
  <c r="S202"/>
  <c r="R202"/>
  <c r="Q202"/>
  <c r="T201"/>
  <c r="S201"/>
  <c r="R201"/>
  <c r="Q201"/>
  <c r="T200"/>
  <c r="S200"/>
  <c r="R200"/>
  <c r="Q200"/>
  <c r="T199"/>
  <c r="S199"/>
  <c r="R199"/>
  <c r="Q199"/>
  <c r="T198"/>
  <c r="S198"/>
  <c r="R198"/>
  <c r="Q198"/>
  <c r="T197"/>
  <c r="S197"/>
  <c r="R197"/>
  <c r="Q197"/>
  <c r="T196"/>
  <c r="S196"/>
  <c r="R196"/>
  <c r="Q196"/>
  <c r="T195"/>
  <c r="S195"/>
  <c r="R195"/>
  <c r="Q195"/>
  <c r="T194"/>
  <c r="S194"/>
  <c r="R194"/>
  <c r="Q194"/>
  <c r="T193"/>
  <c r="S193"/>
  <c r="R193"/>
  <c r="Q193"/>
  <c r="T192"/>
  <c r="S192"/>
  <c r="R192"/>
  <c r="Q192"/>
  <c r="T191"/>
  <c r="S191"/>
  <c r="R191"/>
  <c r="Q191"/>
  <c r="T190"/>
  <c r="S190"/>
  <c r="R190"/>
  <c r="Q190"/>
  <c r="T189"/>
  <c r="S189"/>
  <c r="R189"/>
  <c r="Q189"/>
  <c r="T188"/>
  <c r="S188"/>
  <c r="R188"/>
  <c r="Q188"/>
  <c r="T187"/>
  <c r="S187"/>
  <c r="R187"/>
  <c r="Q187"/>
  <c r="T186"/>
  <c r="S186"/>
  <c r="R186"/>
  <c r="Q186"/>
  <c r="T185"/>
  <c r="S185"/>
  <c r="R185"/>
  <c r="Q185"/>
  <c r="T184"/>
  <c r="S184"/>
  <c r="R184"/>
  <c r="Q184"/>
  <c r="T183"/>
  <c r="S183"/>
  <c r="R183"/>
  <c r="Q183"/>
  <c r="T182"/>
  <c r="S182"/>
  <c r="R182"/>
  <c r="Q182"/>
  <c r="T181"/>
  <c r="S181"/>
  <c r="R181"/>
  <c r="Q181"/>
  <c r="T180"/>
  <c r="S180"/>
  <c r="R180"/>
  <c r="Q180"/>
  <c r="T179"/>
  <c r="S179"/>
  <c r="R179"/>
  <c r="Q179"/>
  <c r="T178"/>
  <c r="S178"/>
  <c r="R178"/>
  <c r="Q178"/>
  <c r="T177"/>
  <c r="S177"/>
  <c r="R177"/>
  <c r="Q177"/>
  <c r="T176"/>
  <c r="S176"/>
  <c r="R176"/>
  <c r="Q176"/>
  <c r="T175"/>
  <c r="S175"/>
  <c r="R175"/>
  <c r="Q175"/>
  <c r="T174"/>
  <c r="S174"/>
  <c r="R174"/>
  <c r="Q174"/>
  <c r="T173"/>
  <c r="S173"/>
  <c r="R173"/>
  <c r="Q173"/>
  <c r="T172"/>
  <c r="S172"/>
  <c r="R172"/>
  <c r="Q172"/>
  <c r="T171"/>
  <c r="S171"/>
  <c r="R171"/>
  <c r="Q171"/>
  <c r="T170"/>
  <c r="S170"/>
  <c r="R170"/>
  <c r="Q170"/>
  <c r="T169"/>
  <c r="S169"/>
  <c r="R169"/>
  <c r="Q169"/>
  <c r="T168"/>
  <c r="S168"/>
  <c r="R168"/>
  <c r="Q168"/>
  <c r="T167"/>
  <c r="S167"/>
  <c r="R167"/>
  <c r="Q167"/>
  <c r="T166"/>
  <c r="S166"/>
  <c r="R166"/>
  <c r="Q166"/>
  <c r="T165"/>
  <c r="S165"/>
  <c r="R165"/>
  <c r="Q165"/>
  <c r="T164"/>
  <c r="S164"/>
  <c r="R164"/>
  <c r="Q164"/>
  <c r="T163"/>
  <c r="S163"/>
  <c r="R163"/>
  <c r="Q163"/>
  <c r="T162"/>
  <c r="S162"/>
  <c r="R162"/>
  <c r="Q162"/>
  <c r="T161"/>
  <c r="S161"/>
  <c r="R161"/>
  <c r="Q161"/>
  <c r="T160"/>
  <c r="S160"/>
  <c r="R160"/>
  <c r="Q160"/>
  <c r="T159"/>
  <c r="S159"/>
  <c r="R159"/>
  <c r="Q159"/>
  <c r="T158"/>
  <c r="S158"/>
  <c r="R158"/>
  <c r="Q158"/>
  <c r="T157"/>
  <c r="S157"/>
  <c r="R157"/>
  <c r="Q157"/>
  <c r="T156"/>
  <c r="S156"/>
  <c r="R156"/>
  <c r="Q156"/>
  <c r="T155"/>
  <c r="S155"/>
  <c r="R155"/>
  <c r="Q155"/>
  <c r="T154"/>
  <c r="S154"/>
  <c r="R154"/>
  <c r="Q154"/>
  <c r="T153"/>
  <c r="S153"/>
  <c r="R153"/>
  <c r="Q153"/>
  <c r="T152"/>
  <c r="S152"/>
  <c r="R152"/>
  <c r="Q152"/>
  <c r="T151"/>
  <c r="S151"/>
  <c r="R151"/>
  <c r="Q151"/>
  <c r="T150"/>
  <c r="S150"/>
  <c r="R150"/>
  <c r="Q150"/>
  <c r="T149"/>
  <c r="S149"/>
  <c r="R149"/>
  <c r="Q149"/>
  <c r="T148"/>
  <c r="S148"/>
  <c r="R148"/>
  <c r="Q148"/>
  <c r="T147"/>
  <c r="S147"/>
  <c r="R147"/>
  <c r="Q147"/>
  <c r="T146"/>
  <c r="S146"/>
  <c r="R146"/>
  <c r="Q146"/>
  <c r="T145"/>
  <c r="S145"/>
  <c r="R145"/>
  <c r="Q145"/>
  <c r="T144"/>
  <c r="S144"/>
  <c r="R144"/>
  <c r="Q144"/>
  <c r="T143"/>
  <c r="S143"/>
  <c r="R143"/>
  <c r="Q143"/>
  <c r="T142"/>
  <c r="S142"/>
  <c r="R142"/>
  <c r="Q142"/>
  <c r="T141"/>
  <c r="S141"/>
  <c r="R141"/>
  <c r="Q141"/>
  <c r="T140"/>
  <c r="S140"/>
  <c r="R140"/>
  <c r="Q140"/>
  <c r="T139"/>
  <c r="S139"/>
  <c r="R139"/>
  <c r="Q139"/>
  <c r="T138"/>
  <c r="S138"/>
  <c r="R138"/>
  <c r="Q138"/>
  <c r="T137"/>
  <c r="S137"/>
  <c r="R137"/>
  <c r="Q137"/>
  <c r="T136"/>
  <c r="S136"/>
  <c r="R136"/>
  <c r="Q136"/>
  <c r="T135"/>
  <c r="S135"/>
  <c r="R135"/>
  <c r="Q135"/>
  <c r="T134"/>
  <c r="S134"/>
  <c r="R134"/>
  <c r="Q134"/>
  <c r="T133"/>
  <c r="S133"/>
  <c r="R133"/>
  <c r="Q133"/>
  <c r="T132"/>
  <c r="S132"/>
  <c r="R132"/>
  <c r="Q132"/>
  <c r="T131"/>
  <c r="S131"/>
  <c r="R131"/>
  <c r="Q131"/>
  <c r="T130"/>
  <c r="S130"/>
  <c r="R130"/>
  <c r="Q130"/>
  <c r="T129"/>
  <c r="S129"/>
  <c r="R129"/>
  <c r="Q129"/>
  <c r="T128"/>
  <c r="S128"/>
  <c r="R128"/>
  <c r="Q128"/>
  <c r="T127"/>
  <c r="S127"/>
  <c r="R127"/>
  <c r="Q127"/>
  <c r="T126"/>
  <c r="S126"/>
  <c r="R126"/>
  <c r="Q126"/>
  <c r="T125"/>
  <c r="S125"/>
  <c r="R125"/>
  <c r="Q125"/>
  <c r="T124"/>
  <c r="S124"/>
  <c r="R124"/>
  <c r="Q124"/>
  <c r="T123"/>
  <c r="S123"/>
  <c r="R123"/>
  <c r="Q123"/>
  <c r="T122"/>
  <c r="S122"/>
  <c r="R122"/>
  <c r="Q122"/>
  <c r="T121"/>
  <c r="S121"/>
  <c r="R121"/>
  <c r="Q121"/>
  <c r="T120"/>
  <c r="S120"/>
  <c r="R120"/>
  <c r="Q120"/>
  <c r="T119"/>
  <c r="S119"/>
  <c r="R119"/>
  <c r="Q119"/>
  <c r="T118"/>
  <c r="S118"/>
  <c r="R118"/>
  <c r="Q118"/>
  <c r="T117"/>
  <c r="S117"/>
  <c r="R117"/>
  <c r="Q117"/>
  <c r="T116"/>
  <c r="S116"/>
  <c r="R116"/>
  <c r="Q116"/>
  <c r="T115"/>
  <c r="S115"/>
  <c r="R115"/>
  <c r="Q115"/>
  <c r="T114"/>
  <c r="S114"/>
  <c r="R114"/>
  <c r="Q114"/>
  <c r="T113"/>
  <c r="S113"/>
  <c r="R113"/>
  <c r="Q113"/>
  <c r="T112"/>
  <c r="S112"/>
  <c r="R112"/>
  <c r="Q112"/>
  <c r="T111"/>
  <c r="S111"/>
  <c r="R111"/>
  <c r="Q111"/>
  <c r="T110"/>
  <c r="S110"/>
  <c r="R110"/>
  <c r="Q110"/>
  <c r="T109"/>
  <c r="S109"/>
  <c r="R109"/>
  <c r="Q109"/>
  <c r="T108"/>
  <c r="S108"/>
  <c r="R108"/>
  <c r="Q108"/>
  <c r="T107"/>
  <c r="S107"/>
  <c r="R107"/>
  <c r="Q107"/>
  <c r="T106"/>
  <c r="S106"/>
  <c r="R106"/>
  <c r="Q106"/>
  <c r="T105"/>
  <c r="S105"/>
  <c r="R105"/>
  <c r="Q105"/>
  <c r="T104"/>
  <c r="S104"/>
  <c r="R104"/>
  <c r="Q104"/>
  <c r="T103"/>
  <c r="S103"/>
  <c r="R103"/>
  <c r="Q103"/>
  <c r="T102"/>
  <c r="S102"/>
  <c r="R102"/>
  <c r="Q102"/>
  <c r="T101"/>
  <c r="S101"/>
  <c r="R101"/>
  <c r="Q101"/>
  <c r="T100"/>
  <c r="S100"/>
  <c r="R100"/>
  <c r="Q100"/>
  <c r="T99"/>
  <c r="S99"/>
  <c r="R99"/>
  <c r="Q99"/>
  <c r="T98"/>
  <c r="S98"/>
  <c r="R98"/>
  <c r="Q98"/>
  <c r="T97"/>
  <c r="S97"/>
  <c r="R97"/>
  <c r="Q97"/>
  <c r="T96"/>
  <c r="S96"/>
  <c r="R96"/>
  <c r="Q96"/>
  <c r="T95"/>
  <c r="S95"/>
  <c r="R95"/>
  <c r="Q95"/>
  <c r="T94"/>
  <c r="S94"/>
  <c r="R94"/>
  <c r="Q94"/>
  <c r="T93"/>
  <c r="S93"/>
  <c r="R93"/>
  <c r="Q93"/>
  <c r="T92"/>
  <c r="S92"/>
  <c r="R92"/>
  <c r="Q92"/>
  <c r="T91"/>
  <c r="S91"/>
  <c r="R91"/>
  <c r="Q91"/>
  <c r="T90"/>
  <c r="S90"/>
  <c r="R90"/>
  <c r="Q90"/>
  <c r="T89"/>
  <c r="S89"/>
  <c r="R89"/>
  <c r="Q89"/>
  <c r="T88"/>
  <c r="S88"/>
  <c r="R88"/>
  <c r="Q88"/>
  <c r="T87"/>
  <c r="S87"/>
  <c r="R87"/>
  <c r="Q87"/>
  <c r="T86"/>
  <c r="S86"/>
  <c r="R86"/>
  <c r="Q86"/>
  <c r="T85"/>
  <c r="S85"/>
  <c r="R85"/>
  <c r="Q85"/>
  <c r="T84"/>
  <c r="S84"/>
  <c r="R84"/>
  <c r="Q84"/>
  <c r="T83"/>
  <c r="S83"/>
  <c r="R83"/>
  <c r="Q83"/>
  <c r="T82"/>
  <c r="S82"/>
  <c r="R82"/>
  <c r="Q82"/>
  <c r="T81"/>
  <c r="S81"/>
  <c r="R81"/>
  <c r="Q81"/>
  <c r="T80"/>
  <c r="S80"/>
  <c r="R80"/>
  <c r="Q80"/>
  <c r="T79"/>
  <c r="S79"/>
  <c r="R79"/>
  <c r="Q79"/>
  <c r="T78"/>
  <c r="S78"/>
  <c r="R78"/>
  <c r="Q78"/>
  <c r="T77"/>
  <c r="S77"/>
  <c r="R77"/>
  <c r="Q77"/>
  <c r="T76"/>
  <c r="S76"/>
  <c r="R76"/>
  <c r="Q76"/>
  <c r="T75"/>
  <c r="S75"/>
  <c r="R75"/>
  <c r="Q75"/>
  <c r="T74"/>
  <c r="S74"/>
  <c r="R74"/>
  <c r="Q74"/>
  <c r="T73"/>
  <c r="S73"/>
  <c r="R73"/>
  <c r="Q73"/>
  <c r="T72"/>
  <c r="S72"/>
  <c r="R72"/>
  <c r="Q72"/>
  <c r="T71"/>
  <c r="S71"/>
  <c r="R71"/>
  <c r="Q71"/>
  <c r="T70"/>
  <c r="S70"/>
  <c r="R70"/>
  <c r="Q70"/>
  <c r="T69"/>
  <c r="S69"/>
  <c r="R69"/>
  <c r="Q69"/>
  <c r="T68"/>
  <c r="S68"/>
  <c r="R68"/>
  <c r="Q68"/>
  <c r="T67"/>
  <c r="S67"/>
  <c r="R67"/>
  <c r="Q67"/>
  <c r="T66"/>
  <c r="S66"/>
  <c r="R66"/>
  <c r="Q66"/>
  <c r="T65"/>
  <c r="S65"/>
  <c r="R65"/>
  <c r="Q65"/>
  <c r="T64"/>
  <c r="S64"/>
  <c r="R64"/>
  <c r="Q64"/>
  <c r="T63"/>
  <c r="S63"/>
  <c r="R63"/>
  <c r="Q63"/>
  <c r="T62"/>
  <c r="S62"/>
  <c r="R62"/>
  <c r="Q62"/>
  <c r="T61"/>
  <c r="S61"/>
  <c r="R61"/>
  <c r="Q61"/>
  <c r="T60"/>
  <c r="S60"/>
  <c r="R60"/>
  <c r="Q60"/>
  <c r="T59"/>
  <c r="S59"/>
  <c r="R59"/>
  <c r="Q59"/>
  <c r="T58"/>
  <c r="S58"/>
  <c r="R58"/>
  <c r="Q58"/>
  <c r="T57"/>
  <c r="S57"/>
  <c r="R57"/>
  <c r="Q57"/>
  <c r="T56"/>
  <c r="S56"/>
  <c r="R56"/>
  <c r="Q56"/>
  <c r="T55"/>
  <c r="S55"/>
  <c r="R55"/>
  <c r="Q55"/>
  <c r="T54"/>
  <c r="S54"/>
  <c r="R54"/>
  <c r="Q54"/>
  <c r="T53"/>
  <c r="S53"/>
  <c r="R53"/>
  <c r="Q53"/>
  <c r="T52"/>
  <c r="S52"/>
  <c r="R52"/>
  <c r="Q52"/>
  <c r="T51"/>
  <c r="S51"/>
  <c r="R51"/>
  <c r="Q51"/>
  <c r="T50"/>
  <c r="S50"/>
  <c r="R50"/>
  <c r="Q50"/>
  <c r="T49"/>
  <c r="S49"/>
  <c r="R49"/>
  <c r="Q49"/>
  <c r="T48"/>
  <c r="S48"/>
  <c r="R48"/>
  <c r="Q48"/>
  <c r="T47"/>
  <c r="S47"/>
  <c r="R47"/>
  <c r="Q47"/>
  <c r="T46"/>
  <c r="S46"/>
  <c r="R46"/>
  <c r="Q46"/>
  <c r="T45"/>
  <c r="S45"/>
  <c r="R45"/>
  <c r="Q45"/>
  <c r="T44"/>
  <c r="S44"/>
  <c r="R44"/>
  <c r="Q44"/>
  <c r="T43"/>
  <c r="S43"/>
  <c r="R43"/>
  <c r="Q43"/>
  <c r="T42"/>
  <c r="S42"/>
  <c r="R42"/>
  <c r="Q42"/>
  <c r="T41"/>
  <c r="S41"/>
  <c r="R41"/>
  <c r="Q41"/>
  <c r="T40"/>
  <c r="S40"/>
  <c r="R40"/>
  <c r="Q40"/>
  <c r="T39"/>
  <c r="S39"/>
  <c r="R39"/>
  <c r="Q39"/>
  <c r="T38"/>
  <c r="S38"/>
  <c r="R38"/>
  <c r="Q38"/>
  <c r="T37"/>
  <c r="S37"/>
  <c r="R37"/>
  <c r="Q37"/>
  <c r="T36"/>
  <c r="S36"/>
  <c r="R36"/>
  <c r="Q36"/>
  <c r="T35"/>
  <c r="S35"/>
  <c r="R35"/>
  <c r="Q35"/>
  <c r="T34"/>
  <c r="S34"/>
  <c r="R34"/>
  <c r="Q34"/>
  <c r="T33"/>
  <c r="S33"/>
  <c r="R33"/>
  <c r="Q33"/>
  <c r="T32"/>
  <c r="S32"/>
  <c r="R32"/>
  <c r="Q32"/>
  <c r="T31"/>
  <c r="S31"/>
  <c r="R31"/>
  <c r="Q31"/>
  <c r="T30"/>
  <c r="S30"/>
  <c r="R30"/>
  <c r="Q30"/>
  <c r="T29"/>
  <c r="S29"/>
  <c r="R29"/>
  <c r="Q29"/>
  <c r="T28"/>
  <c r="S28"/>
  <c r="R28"/>
  <c r="Q28"/>
  <c r="T27"/>
  <c r="S27"/>
  <c r="R27"/>
  <c r="Q27"/>
  <c r="T26"/>
  <c r="S26"/>
  <c r="R26"/>
  <c r="Q26"/>
  <c r="T25"/>
  <c r="S25"/>
  <c r="R25"/>
  <c r="Q25"/>
  <c r="T24"/>
  <c r="R24"/>
  <c r="Q24"/>
  <c r="S24" s="1"/>
  <c r="T23"/>
  <c r="R23"/>
  <c r="Q23"/>
  <c r="S23" s="1"/>
  <c r="T22"/>
  <c r="R22"/>
  <c r="Q22"/>
  <c r="S22" s="1"/>
  <c r="T21"/>
  <c r="R21"/>
  <c r="Q21"/>
  <c r="S21" s="1"/>
  <c r="T20"/>
  <c r="R20"/>
  <c r="Q20"/>
  <c r="S20" s="1"/>
  <c r="T19"/>
  <c r="R19"/>
  <c r="Q19"/>
  <c r="S19" s="1"/>
  <c r="T18"/>
  <c r="R18"/>
  <c r="Q18"/>
  <c r="S18" s="1"/>
  <c r="T17"/>
  <c r="R17"/>
  <c r="Q17"/>
  <c r="S17" s="1"/>
  <c r="T16"/>
  <c r="R16"/>
  <c r="Q16"/>
  <c r="S16" s="1"/>
  <c r="T15"/>
  <c r="R15"/>
  <c r="Q15"/>
  <c r="S15" s="1"/>
  <c r="T14"/>
  <c r="R14"/>
  <c r="Q14"/>
  <c r="S14" s="1"/>
  <c r="T13"/>
  <c r="R13"/>
  <c r="Q13"/>
  <c r="S13" s="1"/>
  <c r="T12"/>
  <c r="R12"/>
  <c r="Q12"/>
  <c r="S12" s="1"/>
  <c r="T11"/>
  <c r="R11"/>
  <c r="Q11"/>
  <c r="S11" s="1"/>
  <c r="T10"/>
  <c r="R10"/>
  <c r="Q10"/>
  <c r="S10" s="1"/>
  <c r="T9"/>
  <c r="R9"/>
  <c r="Q9"/>
  <c r="S9" s="1"/>
  <c r="T8"/>
  <c r="R8"/>
  <c r="Q8"/>
  <c r="S8" s="1"/>
  <c r="T7"/>
  <c r="R7"/>
  <c r="Q7"/>
  <c r="S7" s="1"/>
  <c r="T6"/>
  <c r="R6"/>
  <c r="Q6"/>
  <c r="S6" s="1"/>
  <c r="T5"/>
  <c r="B11" i="4" s="1"/>
  <c r="R5" i="2"/>
  <c r="Q5"/>
  <c r="S5" s="1"/>
  <c r="B13" i="4" l="1"/>
  <c r="B6"/>
  <c r="B14"/>
  <c r="B12"/>
</calcChain>
</file>

<file path=xl/sharedStrings.xml><?xml version="1.0" encoding="utf-8"?>
<sst xmlns="http://schemas.openxmlformats.org/spreadsheetml/2006/main" count="567" uniqueCount="323">
  <si>
    <t>International Customer Support Simulation - Tracker Guide</t>
  </si>
  <si>
    <t>Purpose</t>
  </si>
  <si>
    <t>Log, prioritize and follow up customer tickets from 20 international scenarios, and practice professional, culturally aware support.</t>
  </si>
  <si>
    <t>Compatibility</t>
  </si>
  <si>
    <t>Saved as .xlsx and tested for Microsoft Excel 2007: only 2007-era functions (IF, INDEX, MATCH, COUNTIF, AVERAGEIF, IFERROR) are used. No macros.</t>
  </si>
  <si>
    <t>Sheets</t>
  </si>
  <si>
    <t xml:space="preserve">  Support Tracker</t>
  </si>
  <si>
    <t>Main tracker: Customer ID, Issue Category, Priority, Ticket Status, Resolution, Escalation, Follow-up Date + SLA and alerts. Room for 200 tickets (rows 5-204).</t>
  </si>
  <si>
    <t xml:space="preserve">  Customer Scenarios</t>
  </si>
  <si>
    <t>20 customer cases with message, challenge, skills tested, model answer and whether escalation is needed.</t>
  </si>
  <si>
    <t xml:space="preserve">  Dashboard</t>
  </si>
  <si>
    <t>Live counts and charts: status, priority, category, escalations, overdue follow-ups, SLA.</t>
  </si>
  <si>
    <t xml:space="preserve">  Lists</t>
  </si>
  <si>
    <t>Dropdown choices and SLA days per priority. Edit here to customize.</t>
  </si>
  <si>
    <t>Colour legend</t>
  </si>
  <si>
    <t xml:space="preserve">  Yellow cells</t>
  </si>
  <si>
    <t>Input cells - type, or pick from the dropdown.</t>
  </si>
  <si>
    <t xml:space="preserve">  Grey cells</t>
  </si>
  <si>
    <t>Automatic formulas (Days Open, SLA Target, SLA Status, Follow-up Alert) - do not overwrite.</t>
  </si>
  <si>
    <t xml:space="preserve">  Priority colours</t>
  </si>
  <si>
    <t>Critical = dark red, High = orange, Medium = yellow, Low = green.</t>
  </si>
  <si>
    <t>Workflow</t>
  </si>
  <si>
    <t xml:space="preserve">  Step 1</t>
  </si>
  <si>
    <t>Read a scenario on 'Customer Scenarios'. Each has a matching ticket (same Customer ID) already created in the tracker with status New.</t>
  </si>
  <si>
    <t xml:space="preserve">  Step 2</t>
  </si>
  <si>
    <t>Set Ticket Status, enter your name as Assigned Agent, and type your Resolution / Action Taken.</t>
  </si>
  <si>
    <t xml:space="preserve">  Step 3</t>
  </si>
  <si>
    <t>If the case needs a supervisor or specialist team, set Escalated? = Yes and describe the team and reason.</t>
  </si>
  <si>
    <t xml:space="preserve">  Step 4</t>
  </si>
  <si>
    <t>Enter a Follow-up Date. The Follow-up Alert shows Upcoming, Due Today or OVERDUE. When solved, set status to Resolved and enter Date Resolved.</t>
  </si>
  <si>
    <t xml:space="preserve">  Step 5</t>
  </si>
  <si>
    <t>Compare your answer with the model handling, then review the Dashboard.</t>
  </si>
  <si>
    <t>Assumptions</t>
  </si>
  <si>
    <t>Company 'GlobeCart' is fictional. SLA days (Critical 1, High 2, Medium 3, Low 5) and the 30-day return policy are assumptions you can change on 'Lists'. Rows 5-10 contain sample worked tickets with sample dates; replace them as needed. Follow-up alerts use today's date, so they change daily.</t>
  </si>
  <si>
    <t>International Customer Support Tracker</t>
  </si>
  <si>
    <t>Fictional company: GlobeCart (global online store). Yellow cells = type or pick from dropdown. Grey cells = automatic formulas (do not type). Rows 5-10 are sample worked tickets; rows 11-24 are New tickets to work on.</t>
  </si>
  <si>
    <t>Ticket ID</t>
  </si>
  <si>
    <t>Date Logged</t>
  </si>
  <si>
    <t>Customer ID</t>
  </si>
  <si>
    <t>Customer Name</t>
  </si>
  <si>
    <t>Country</t>
  </si>
  <si>
    <t>Channel</t>
  </si>
  <si>
    <t>Issue Category</t>
  </si>
  <si>
    <t>Issue Summary</t>
  </si>
  <si>
    <t>Priority</t>
  </si>
  <si>
    <t>Ticket Status</t>
  </si>
  <si>
    <t>Assigned Agent</t>
  </si>
  <si>
    <t>Resolution / Action Taken</t>
  </si>
  <si>
    <t>Escalated? (Yes/No)</t>
  </si>
  <si>
    <t>Escalation Details (Team &amp; Reason)</t>
  </si>
  <si>
    <t>Follow-up Date</t>
  </si>
  <si>
    <t>Date Resolved</t>
  </si>
  <si>
    <t>Days Open</t>
  </si>
  <si>
    <t>SLA Target (Days)</t>
  </si>
  <si>
    <t>SLA Status</t>
  </si>
  <si>
    <t>Follow-up Alert</t>
  </si>
  <si>
    <t>TKT-001</t>
  </si>
  <si>
    <t>CUST-1001</t>
  </si>
  <si>
    <t>Emily Carter</t>
  </si>
  <si>
    <t>USA</t>
  </si>
  <si>
    <t>Email</t>
  </si>
  <si>
    <t>Billing &amp; Payments</t>
  </si>
  <si>
    <t>Double charge of $129.99 on order #48213</t>
  </si>
  <si>
    <t>High</t>
  </si>
  <si>
    <t>Resolved</t>
  </si>
  <si>
    <t>Agent 1</t>
  </si>
  <si>
    <t>Confirmed duplicate capture. Refunded $129.99 and emailed confirmation (5-7 business days).</t>
  </si>
  <si>
    <t>No</t>
  </si>
  <si>
    <t>TKT-002</t>
  </si>
  <si>
    <t>CUST-1002</t>
  </si>
  <si>
    <t>James Whitfield</t>
  </si>
  <si>
    <t>United Kingdom</t>
  </si>
  <si>
    <t>Live Chat</t>
  </si>
  <si>
    <t>Shipping &amp; Delivery</t>
  </si>
  <si>
    <t>Parcel stuck at customs for 3 weeks</t>
  </si>
  <si>
    <t>Medium</t>
  </si>
  <si>
    <t>In Progress</t>
  </si>
  <si>
    <t>Agent 2</t>
  </si>
  <si>
    <t>Contacted carrier; awaiting customs release. Customer informed about duty/VAT process.</t>
  </si>
  <si>
    <t>TKT-003</t>
  </si>
  <si>
    <t>CUST-1003</t>
  </si>
  <si>
    <t>Anna Schneider</t>
  </si>
  <si>
    <t>Germany</t>
  </si>
  <si>
    <t>Data Privacy &amp; Security</t>
  </si>
  <si>
    <t>GDPR request to delete personal data</t>
  </si>
  <si>
    <t>Escalated</t>
  </si>
  <si>
    <t>Identity verified; request logged and forwarded. Customer told to expect reply within 30 days.</t>
  </si>
  <si>
    <t>Yes</t>
  </si>
  <si>
    <t>Data Protection Officer - GDPR deletion, legal deadline applies</t>
  </si>
  <si>
    <t>TKT-004</t>
  </si>
  <si>
    <t>CUST-1004</t>
  </si>
  <si>
    <t>Haruto Tanaka</t>
  </si>
  <si>
    <t>Japan</t>
  </si>
  <si>
    <t>Product Defect</t>
  </si>
  <si>
    <t>Item scratched and packaging damaged</t>
  </si>
  <si>
    <t>Pending Customer</t>
  </si>
  <si>
    <t>Agent 3</t>
  </si>
  <si>
    <t>Formal apology sent. Asked customer for photos of item and packaging.</t>
  </si>
  <si>
    <t>TKT-005</t>
  </si>
  <si>
    <t>CUST-1005</t>
  </si>
  <si>
    <t>Fatima Al-Mansoori</t>
  </si>
  <si>
    <t>United Arab Emirates</t>
  </si>
  <si>
    <t>WhatsApp</t>
  </si>
  <si>
    <t>Returns &amp; Refunds</t>
  </si>
  <si>
    <t>Refund not received 10 days after return</t>
  </si>
  <si>
    <t>Return received at warehouse; refund expedited. Reference number shared on WhatsApp.</t>
  </si>
  <si>
    <t>TKT-006</t>
  </si>
  <si>
    <t>CUST-1006</t>
  </si>
  <si>
    <t>Lucas Almeida</t>
  </si>
  <si>
    <t>Brazil</t>
  </si>
  <si>
    <t>Account &amp; Login</t>
  </si>
  <si>
    <t>Cannot log in - OTP code not arriving</t>
  </si>
  <si>
    <t>Open</t>
  </si>
  <si>
    <t>Identity verified via email; checking registered phone number.</t>
  </si>
  <si>
    <t>TKT-007</t>
  </si>
  <si>
    <t>CUST-1007</t>
  </si>
  <si>
    <t>Olivia Brown</t>
  </si>
  <si>
    <t>Australia</t>
  </si>
  <si>
    <t>Order Changes &amp; Cancellation</t>
  </si>
  <si>
    <t>Wants to cancel order that has shipped</t>
  </si>
  <si>
    <t>Low</t>
  </si>
  <si>
    <t>New</t>
  </si>
  <si>
    <t>TKT-008</t>
  </si>
  <si>
    <t>CUST-1008</t>
  </si>
  <si>
    <t>Camille Laurent</t>
  </si>
  <si>
    <t>France</t>
  </si>
  <si>
    <t>Social Media</t>
  </si>
  <si>
    <t>Complaint / Feedback</t>
  </si>
  <si>
    <t>Public complaint - order late 3rd time</t>
  </si>
  <si>
    <t>TKT-009</t>
  </si>
  <si>
    <t>CUST-1009</t>
  </si>
  <si>
    <t>Rohan Mehta</t>
  </si>
  <si>
    <t>India</t>
  </si>
  <si>
    <t>Phone</t>
  </si>
  <si>
    <t>Wrong gift item delivered before wedding</t>
  </si>
  <si>
    <t>TKT-010</t>
  </si>
  <si>
    <t>CUST-1010</t>
  </si>
  <si>
    <t>Sophie Tremblay</t>
  </si>
  <si>
    <t>Canada</t>
  </si>
  <si>
    <t>Technical Support</t>
  </si>
  <si>
    <t>Wireless speaker stopped charging</t>
  </si>
  <si>
    <t>TKT-011</t>
  </si>
  <si>
    <t>CUST-1011</t>
  </si>
  <si>
    <t>Carlos Hernandez</t>
  </si>
  <si>
    <t>Mexico</t>
  </si>
  <si>
    <t>Spanish-speaking customer asking for order status</t>
  </si>
  <si>
    <t>TKT-012</t>
  </si>
  <si>
    <t>CUST-1012</t>
  </si>
  <si>
    <t>Thabo Nkosi</t>
  </si>
  <si>
    <t>South Africa</t>
  </si>
  <si>
    <t>Unauthorized orders on account (suspected hack)</t>
  </si>
  <si>
    <t>Critical</t>
  </si>
  <si>
    <t>TKT-013</t>
  </si>
  <si>
    <t>CUST-1013</t>
  </si>
  <si>
    <t>Mei Lin Tan</t>
  </si>
  <si>
    <t>Singapore</t>
  </si>
  <si>
    <t>Checkout page crashing on mobile</t>
  </si>
  <si>
    <t>TKT-014</t>
  </si>
  <si>
    <t>CUST-1014</t>
  </si>
  <si>
    <t>Giulia Romano</t>
  </si>
  <si>
    <t>Italy</t>
  </si>
  <si>
    <t>Discount code WELCOME10 not applied</t>
  </si>
  <si>
    <t>TKT-015</t>
  </si>
  <si>
    <t>CUST-1015</t>
  </si>
  <si>
    <t>Abdullah Al-Harbi</t>
  </si>
  <si>
    <t>Saudi Arabia</t>
  </si>
  <si>
    <t>Change delivery address + evening callback</t>
  </si>
  <si>
    <t>TKT-016</t>
  </si>
  <si>
    <t>CUST-1016</t>
  </si>
  <si>
    <t>Chidi Okafor</t>
  </si>
  <si>
    <t>Nigeria</t>
  </si>
  <si>
    <t>Bank debited but order shows payment failed</t>
  </si>
  <si>
    <t>TKT-017</t>
  </si>
  <si>
    <t>CUST-1017</t>
  </si>
  <si>
    <t>Ji-woo Park</t>
  </si>
  <si>
    <t>South Korea</t>
  </si>
  <si>
    <t>3rd contact about faulty blender - wants manager</t>
  </si>
  <si>
    <t>TKT-018</t>
  </si>
  <si>
    <t>CUST-1018</t>
  </si>
  <si>
    <t>Pieter van Dijk</t>
  </si>
  <si>
    <t>Netherlands</t>
  </si>
  <si>
    <t>Needs corrected invoice with VAT number</t>
  </si>
  <si>
    <t>TKT-019</t>
  </si>
  <si>
    <t>CUST-1019</t>
  </si>
  <si>
    <t>Maria Santos</t>
  </si>
  <si>
    <t>Philippines</t>
  </si>
  <si>
    <t>Needs help setting up smart TV</t>
  </si>
  <si>
    <t>TKT-020</t>
  </si>
  <si>
    <t>CUST-1020</t>
  </si>
  <si>
    <t>Elena Garcia</t>
  </si>
  <si>
    <t>Spain</t>
  </si>
  <si>
    <t>Return request after 45 days (policy is 30)</t>
  </si>
  <si>
    <t>Customer Scenarios - International Support Simulation</t>
  </si>
  <si>
    <t>20 practice cases across 20 countries. Log each one in the Support Tracker (same Customer ID). 'Expected Handling' is the model answer - cover it up while practicing.</t>
  </si>
  <si>
    <t>Scenario #</t>
  </si>
  <si>
    <t>Language | Time Zone</t>
  </si>
  <si>
    <t>Suggested Priority</t>
  </si>
  <si>
    <t>Customer Message</t>
  </si>
  <si>
    <t>Challenge / Background</t>
  </si>
  <si>
    <t>Skills Tested</t>
  </si>
  <si>
    <t>Expected Handling (Model Answer)</t>
  </si>
  <si>
    <t>Should Escalate?</t>
  </si>
  <si>
    <t>English (US) | EST</t>
  </si>
  <si>
    <t>I was charged twice for order #48213. $129.99 shows up two times on my credit card statement. I need this fixed today.</t>
  </si>
  <si>
    <t>Could be a true duplicate charge or just a pre-authorization hold. Customer is anxious about overdraft.</t>
  </si>
  <si>
    <t>Empathy, payment knowledge, verification</t>
  </si>
  <si>
    <t>1) Apologize and reassure. 2) Verify identity. 3) Check payment gateway: duplicate capture vs pending hold. 4) If duplicate, refund extra charge and quote 5-7 business days. 5) Send written confirmation. 6) Set follow-up in 3 days.</t>
  </si>
  <si>
    <t>English (UK) | GMT</t>
  </si>
  <si>
    <t>My parcel has been stuck at customs for 3 weeks. Tracking has not updated since 14 September.</t>
  </si>
  <si>
    <t>Delay is caused by customs, outside company control. Customer may face import duty/VAT.</t>
  </si>
  <si>
    <t>Expectation management, carrier coordination</t>
  </si>
  <si>
    <t>1) Check tracking and carrier notes. 2) Explain the customs hold clearly. 3) Contact carrier for status. 4) Advise on duty/VAT paperwork. 5) Offer reship or refund if not cleared by an agreed date. 6) Follow up in 2 days.</t>
  </si>
  <si>
    <t>German / English | CET</t>
  </si>
  <si>
    <t>Under GDPR I request deletion of all my personal data. Please confirm in writing.</t>
  </si>
  <si>
    <t>Legal deadline applies (about one month). Agent cannot approve deletion alone; some data (invoices) must be kept by law.</t>
  </si>
  <si>
    <t>Compliance awareness, escalation, written communication</t>
  </si>
  <si>
    <t>1) Acknowledge within 24 hours. 2) Verify identity securely. 3) Do NOT promise full deletion yet. 4) Log request and escalate to Data Protection Officer. 5) Give customer the expected timeline. 6) Track follow-up date.</t>
  </si>
  <si>
    <t>Japanese / English | JST</t>
  </si>
  <si>
    <t>The packaging seems to have been somewhat damaged, and the item has a small scratch. It is slightly disappointing.</t>
  </si>
  <si>
    <t>Indirect, understated complaint. Real dissatisfaction is higher than the wording suggests.</t>
  </si>
  <si>
    <t>Cultural sensitivity, formal tone, reading between the lines</t>
  </si>
  <si>
    <t>1) Recognize the polite, indirect tone. 2) Apologize formally and sincerely. 3) Request photos of item and packaging. 4) Offer replacement or refund. 5) Keep language courteous; avoid blunt phrases. 6) Confirm next steps in writing.</t>
  </si>
  <si>
    <t>Arabic / English | GST</t>
  </si>
  <si>
    <t>I returned my order 10 days ago and still have no refund. I need an update now.</t>
  </si>
  <si>
    <t>Customer is impatient; refund may be delayed at the warehouse or in the payment processing stage.</t>
  </si>
  <si>
    <t>Order tracing, urgency handling</t>
  </si>
  <si>
    <t>1) Locate return tracking and warehouse receipt. 2) Check refund status. 3) Explain the exact stage and timeline. 4) Expedite if item already received. 5) Share a refund reference number. 6) Follow up in 2 days.</t>
  </si>
  <si>
    <t>Portuguese / English | BRT</t>
  </si>
  <si>
    <t>I cannot log in. The verification code (OTP) never arrives on my phone.</t>
  </si>
  <si>
    <t>Registered phone number may be outdated or SMS blocked by the carrier. Security checks required before any change.</t>
  </si>
  <si>
    <t>Security verification, troubleshooting</t>
  </si>
  <si>
    <t>1) Verify identity using an alternate method. 2) Check registered phone number. 3) Offer email-based OTP. 4) Update number only after verification. 5) Advise on carrier SMS blocks. 6) Confirm login success.</t>
  </si>
  <si>
    <t>English (AU) | AEST</t>
  </si>
  <si>
    <t>Please cancel my order #51877. I changed my mind.</t>
  </si>
  <si>
    <t>Order has already shipped, so a direct cancellation is not possible.</t>
  </si>
  <si>
    <t>Policy explanation, offering alternatives</t>
  </si>
  <si>
    <t>1) Check order status. 2) Explain that in-transit orders cannot be cancelled. 3) Offer refuse-delivery or return option with return label. 4) Confirm refund will follow once the return is received.</t>
  </si>
  <si>
    <t>French / English | CET</t>
  </si>
  <si>
    <t>Third time my order is late and support ignores me. Awful service! Never again. I'm sharing this with everyone. (Public post)</t>
  </si>
  <si>
    <t>Public visibility creates brand-reputation risk. Customer feels ignored.</t>
  </si>
  <si>
    <t>De-escalation, social media etiquette, recovery</t>
  </si>
  <si>
    <t>1) Reply publicly and quickly with a short apology. 2) Move to private message. 3) Review full order history. 4) Offer a concrete fix plus goodwill gesture. 5) Escalate to Team Lead / Social Media Manager. 6) Follow up to confirm satisfaction.</t>
  </si>
  <si>
    <t>English / Hindi | IST</t>
  </si>
  <si>
    <t>I ordered a gift for my sister's wedding on Friday. You delivered the wrong item! What do I do now?</t>
  </si>
  <si>
    <t>Time-sensitive and emotional. Replacement must arrive before the event.</t>
  </si>
  <si>
    <t>Urgency, problem solving, empathy</t>
  </si>
  <si>
    <t>1) Empathize and apologize. 2) Verify order and confirm error. 3) Arrange express replacement and pickup of wrong item. 4) Confirm delivery date before Friday. 5) If impossible, offer refund. 6) Follow up within 24 hours.</t>
  </si>
  <si>
    <t>English / French | EST</t>
  </si>
  <si>
    <t>The wireless speaker I bought 2 weeks ago has stopped charging.</t>
  </si>
  <si>
    <t>Could be user error or a hardware fault. Product is within warranty.</t>
  </si>
  <si>
    <t>Troubleshooting, warranty handling</t>
  </si>
  <si>
    <t>1) Ask about charger and cable used. 2) Guide through basic troubleshooting. 3) Check warranty. 4) If hardware fault, offer replacement and share return (RMA) instructions. 5) Confirm resolution.</t>
  </si>
  <si>
    <t>Spanish (limited English) | CST</t>
  </si>
  <si>
    <t>Hola, my order no come. Where is it? Please tell me.</t>
  </si>
  <si>
    <t>Language barrier. Customer writes in broken English.</t>
  </si>
  <si>
    <t>Clear simple language, using translation aids</t>
  </si>
  <si>
    <t>1) Use short, simple sentences with no idioms. 2) Use approved Spanish template or translation tool. 3) Share tracking status and expected date. 4) Ask the customer to confirm they understood. 5) Keep a language note on the account.</t>
  </si>
  <si>
    <t>English | SAST</t>
  </si>
  <si>
    <t>I can see 3 orders on my account that I never made. Someone has hacked it!</t>
  </si>
  <si>
    <t>Possible account takeover and fraud. Needs immediate containment.</t>
  </si>
  <si>
    <t>Crisis handling, security protocol, escalation</t>
  </si>
  <si>
    <t>1) Stay calm and reassure. 2) Lock the account immediately. 3) Verify identity. 4) Stop shipment of suspicious orders. 5) Escalate to Fraud / Security team. 6) Reset credentials, recommend 2-step verification. 7) Refund fraudulent charges.</t>
  </si>
  <si>
    <t>English / Mandarin | SGT</t>
  </si>
  <si>
    <t>The checkout page keeps crashing on my phone when I try to pay. I have tried 4 times.</t>
  </si>
  <si>
    <t>Possible website/app bug. Customer may have been charged without an order.</t>
  </si>
  <si>
    <t>Information gathering, bug reporting</t>
  </si>
  <si>
    <t>1) Collect device, OS, app version and a screenshot. 2) Check whether any payment was taken. 3) Suggest workaround (browser or desktop). 4) Log bug with the technical team. 5) Update customer when fixed.</t>
  </si>
  <si>
    <t>Italian / English | CET</t>
  </si>
  <si>
    <t>My discount code WELCOME10 did not work at checkout. I want the 10% off.</t>
  </si>
  <si>
    <t>Code may be expired, restricted, or minimum spend not met.</t>
  </si>
  <si>
    <t>Policy knowledge, polite refusal or fix</t>
  </si>
  <si>
    <t>1) Check code terms, expiry and minimum spend. 2) If valid, refund the 10% difference. 3) If not valid, explain politely. 4) Offer a suitable alternative offer if allowed.</t>
  </si>
  <si>
    <t>Arabic / English | AST</t>
  </si>
  <si>
    <t>I need to change my delivery address today before it ships. Please call me back after 8 pm my time.</t>
  </si>
  <si>
    <t>Time-zone difference and a callback request outside normal support hours.</t>
  </si>
  <si>
    <t>Time-zone awareness, scheduling, accuracy</t>
  </si>
  <si>
    <t>1) Check shipment status. 2) Update address after verification if not yet shipped. 3) Schedule callback in customer's local time. 4) Send written confirmation of the new address.</t>
  </si>
  <si>
    <t>English | WAT</t>
  </si>
  <si>
    <t>My bank sent a debit alert for 85,000 Naira but my order shows 'payment failed'.</t>
  </si>
  <si>
    <t>Payment may be captured, pending, or auto-reversed. Customer fears losing money.</t>
  </si>
  <si>
    <t>Payment investigation, multi-currency awareness</t>
  </si>
  <si>
    <t>1) Ask for transaction reference. 2) Check gateway status: captured, pending or failed. 3) Explain auto-reversal timeline if failed. 4) If captured, confirm the order or refund. 5) Follow up in 2 days.</t>
  </si>
  <si>
    <t>Korean / English | KST</t>
  </si>
  <si>
    <t>This is my third email about the same faulty blender. Nobody has solved it. I want to speak to a manager.</t>
  </si>
  <si>
    <t>Repeat contact and loss of trust. Customer explicitly requests a supervisor.</t>
  </si>
  <si>
    <t>Ownership, de-escalation, case history review</t>
  </si>
  <si>
    <t>1) Read full case history. 2) Apologize and take ownership. 3) Assign one point of contact. 4) Offer replacement or refund. 5) Escalate to supervisor as requested. 6) Follow up to confirm.</t>
  </si>
  <si>
    <t>Dutch / English | CET</t>
  </si>
  <si>
    <t>I need a corrected invoice with my company's VAT number for order #52210.</t>
  </si>
  <si>
    <t>Business customer; tax documents must be accurate.</t>
  </si>
  <si>
    <t>Attention to detail, tax/invoice process</t>
  </si>
  <si>
    <t>1) Verify order and identity. 2) Confirm VAT number format. 3) Issue amended invoice per policy. 4) Explain whether tax adjustments are possible.</t>
  </si>
  <si>
    <t>English / Filipino | PHT</t>
  </si>
  <si>
    <t>I don't understand the remote. I cannot set up my new smart TV.</t>
  </si>
  <si>
    <t>Customer is not tech-savvy and needs patient step-by-step help.</t>
  </si>
  <si>
    <t>Patience, plain language, step-by-step guidance</t>
  </si>
  <si>
    <t>1) Speak slowly and avoid jargon. 2) Guide one step at a time and confirm each. 3) Offer a simple PDF or video guide. 4) Offer a scheduled follow-up call.</t>
  </si>
  <si>
    <t>Spanish / English | CET</t>
  </si>
  <si>
    <t>I know it has been 45 days, but the jacket does not fit. Can you make an exception?</t>
  </si>
  <si>
    <t>Request is outside the 30-day return policy.</t>
  </si>
  <si>
    <t>Policy adherence with empathy, offering options</t>
  </si>
  <si>
    <t>1) Thank her for contacting you. 2) Explain the 30-day policy kindly. 3) Offer allowed options (exchange, store credit). 4) Escalate only if beyond your authority. 5) Document the decision.</t>
  </si>
  <si>
    <t>Support Dashboard</t>
  </si>
  <si>
    <t>Updates automatically from the Support Tracker.</t>
  </si>
  <si>
    <t>Key Metric</t>
  </si>
  <si>
    <t>Value</t>
  </si>
  <si>
    <t>Total tickets</t>
  </si>
  <si>
    <t>Open tickets (not Resolved/Closed)</t>
  </si>
  <si>
    <t>Resolved / Closed tickets</t>
  </si>
  <si>
    <t>Resolution rate</t>
  </si>
  <si>
    <t>Escalated tickets</t>
  </si>
  <si>
    <t>Escalation rate</t>
  </si>
  <si>
    <t>Follow-ups OVERDUE</t>
  </si>
  <si>
    <t>Follow-ups due today</t>
  </si>
  <si>
    <t>SLA breached (resolved late + still open)</t>
  </si>
  <si>
    <t>Avg. days to resolve (resolved tickets)</t>
  </si>
  <si>
    <t>Count</t>
  </si>
  <si>
    <t>Dropdown Lists &amp; SLA Settings</t>
  </si>
  <si>
    <t>Edit the values below to change the dropdown choices in the tracker. Keep the Priority order and SLA days side by side.</t>
  </si>
  <si>
    <t>Resolution SLA (Days)</t>
  </si>
  <si>
    <t>Yes / No</t>
  </si>
  <si>
    <t>Closed</t>
  </si>
  <si>
    <t>SLA days are assumptions (blue = editable input): Critical 1, High 2, Medium 3, Low 5 days to resolve.</t>
  </si>
</sst>
</file>

<file path=xl/styles.xml><?xml version="1.0" encoding="utf-8"?>
<styleSheet xmlns="http://schemas.openxmlformats.org/spreadsheetml/2006/main">
  <numFmts count="2">
    <numFmt numFmtId="164" formatCode="dd\-mmm\-yyyy"/>
    <numFmt numFmtId="165" formatCode="0.0"/>
  </numFmts>
  <fonts count="8">
    <font>
      <sz val="11"/>
      <color theme="1"/>
      <name val="Calibri"/>
      <family val="2"/>
      <charset val="1"/>
    </font>
    <font>
      <b/>
      <sz val="16"/>
      <color rgb="FF1F3864"/>
      <name val="Arial"/>
      <charset val="1"/>
    </font>
    <font>
      <b/>
      <sz val="10"/>
      <color rgb="FF000000"/>
      <name val="Arial"/>
      <charset val="1"/>
    </font>
    <font>
      <sz val="10"/>
      <color rgb="FF000000"/>
      <name val="Arial"/>
      <charset val="1"/>
    </font>
    <font>
      <b/>
      <sz val="10"/>
      <color rgb="FFFFFFFF"/>
      <name val="Arial"/>
      <charset val="1"/>
    </font>
    <font>
      <i/>
      <sz val="10"/>
      <color rgb="FF595959"/>
      <name val="Arial"/>
      <charset val="1"/>
    </font>
    <font>
      <b/>
      <sz val="14"/>
      <color rgb="FF1F3864"/>
      <name val="Arial"/>
      <charset val="1"/>
    </font>
    <font>
      <sz val="10"/>
      <color rgb="FF0000FF"/>
      <name val="Arial"/>
      <charset val="1"/>
    </font>
  </fonts>
  <fills count="10">
    <fill>
      <patternFill patternType="none"/>
    </fill>
    <fill>
      <patternFill patternType="gray125"/>
    </fill>
    <fill>
      <patternFill patternType="solid">
        <fgColor rgb="FF1F3864"/>
        <bgColor rgb="FF333333"/>
      </patternFill>
    </fill>
    <fill>
      <patternFill patternType="solid">
        <fgColor rgb="FFFFF9DB"/>
        <bgColor rgb="FFF2F2F2"/>
      </patternFill>
    </fill>
    <fill>
      <patternFill patternType="solid">
        <fgColor rgb="FFF2F2F2"/>
        <bgColor rgb="FFEDEDED"/>
      </patternFill>
    </fill>
    <fill>
      <patternFill patternType="solid">
        <fgColor rgb="FFF4B183"/>
        <bgColor rgb="FFF8CBAD"/>
      </patternFill>
    </fill>
    <fill>
      <patternFill patternType="solid">
        <fgColor rgb="FFFFE699"/>
        <bgColor rgb="FFF8CBAD"/>
      </patternFill>
    </fill>
    <fill>
      <patternFill patternType="solid">
        <fgColor rgb="FFF8CBAD"/>
        <bgColor rgb="FFFFE699"/>
      </patternFill>
    </fill>
    <fill>
      <patternFill patternType="solid">
        <fgColor rgb="FFC6E0B4"/>
        <bgColor rgb="FFD9D9D9"/>
      </patternFill>
    </fill>
    <fill>
      <patternFill patternType="solid">
        <fgColor rgb="FFC00000"/>
        <bgColor rgb="FF9C000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7">
    <xf numFmtId="0" fontId="0" fillId="0" borderId="0" xfId="0"/>
    <xf numFmtId="0" fontId="1" fillId="0" borderId="0" xfId="0" applyFont="1"/>
    <xf numFmtId="0" fontId="2" fillId="0" borderId="0" xfId="0" applyFont="1" applyAlignment="1">
      <alignment vertical="top"/>
    </xf>
    <xf numFmtId="0" fontId="3" fillId="0" borderId="0" xfId="0" applyFont="1" applyAlignment="1">
      <alignment vertical="top" wrapText="1"/>
    </xf>
    <xf numFmtId="0" fontId="4" fillId="2" borderId="0" xfId="0" applyFont="1" applyFill="1" applyAlignment="1">
      <alignment vertical="top"/>
    </xf>
    <xf numFmtId="0" fontId="3" fillId="2" borderId="0" xfId="0" applyFont="1" applyFill="1" applyAlignment="1">
      <alignment vertical="top" wrapText="1"/>
    </xf>
    <xf numFmtId="0" fontId="5" fillId="0" borderId="0" xfId="0" applyFont="1"/>
    <xf numFmtId="0" fontId="4" fillId="2" borderId="1" xfId="0" applyFont="1" applyFill="1" applyBorder="1" applyAlignment="1">
      <alignment horizontal="center" vertical="center" wrapText="1"/>
    </xf>
    <xf numFmtId="0" fontId="3" fillId="3" borderId="1" xfId="0" applyFont="1" applyFill="1" applyBorder="1" applyAlignment="1">
      <alignment vertical="top"/>
    </xf>
    <xf numFmtId="164" fontId="3" fillId="3" borderId="1" xfId="0" applyNumberFormat="1" applyFont="1" applyFill="1" applyBorder="1" applyAlignment="1">
      <alignment vertical="top"/>
    </xf>
    <xf numFmtId="0" fontId="3" fillId="3" borderId="1" xfId="0" applyFont="1" applyFill="1" applyBorder="1" applyAlignment="1">
      <alignment vertical="top" wrapText="1"/>
    </xf>
    <xf numFmtId="1" fontId="3" fillId="4" borderId="1" xfId="0" applyNumberFormat="1" applyFont="1" applyFill="1" applyBorder="1" applyAlignment="1">
      <alignment vertical="top"/>
    </xf>
    <xf numFmtId="0" fontId="3" fillId="4" borderId="1" xfId="0" applyFont="1" applyFill="1" applyBorder="1" applyAlignment="1">
      <alignment vertical="top" wrapText="1"/>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2"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4" fillId="9" borderId="1" xfId="0" applyFont="1" applyFill="1" applyBorder="1" applyAlignment="1">
      <alignment horizontal="center" vertical="top" wrapText="1"/>
    </xf>
    <xf numFmtId="0" fontId="3" fillId="0" borderId="1" xfId="0" applyFont="1" applyBorder="1"/>
    <xf numFmtId="1" fontId="2" fillId="0" borderId="1" xfId="0" applyNumberFormat="1" applyFont="1" applyBorder="1" applyAlignment="1">
      <alignment horizontal="center"/>
    </xf>
    <xf numFmtId="9" fontId="2" fillId="0" borderId="1" xfId="0" applyNumberFormat="1" applyFont="1" applyBorder="1" applyAlignment="1">
      <alignment horizontal="center"/>
    </xf>
    <xf numFmtId="165" fontId="2" fillId="0" borderId="1" xfId="0" applyNumberFormat="1" applyFont="1" applyBorder="1" applyAlignment="1">
      <alignment horizontal="center"/>
    </xf>
    <xf numFmtId="0" fontId="3" fillId="0" borderId="1" xfId="0" applyFont="1" applyBorder="1" applyAlignment="1">
      <alignment horizontal="center"/>
    </xf>
    <xf numFmtId="0" fontId="6" fillId="0" borderId="0" xfId="0" applyFont="1"/>
    <xf numFmtId="0" fontId="7" fillId="0" borderId="1" xfId="0" applyFont="1" applyBorder="1"/>
  </cellXfs>
  <cellStyles count="1">
    <cellStyle name="Normal" xfId="0" builtinId="0"/>
  </cellStyles>
  <dxfs count="19">
    <dxf>
      <font>
        <color rgb="FF000000"/>
        <name val="Arial"/>
      </font>
      <fill>
        <patternFill>
          <bgColor rgb="FFDDEBF7"/>
        </patternFill>
      </fill>
    </dxf>
    <dxf>
      <font>
        <color rgb="FF000000"/>
        <name val="Arial"/>
      </font>
      <fill>
        <patternFill>
          <bgColor rgb="FFC6E0B4"/>
        </patternFill>
      </fill>
    </dxf>
    <dxf>
      <font>
        <b/>
        <color rgb="FF9C0006"/>
        <name val="Arial"/>
      </font>
      <fill>
        <patternFill>
          <bgColor rgb="FFF8CBAD"/>
        </patternFill>
      </fill>
    </dxf>
    <dxf>
      <font>
        <color rgb="FF000000"/>
        <name val="Arial"/>
      </font>
      <fill>
        <patternFill>
          <bgColor rgb="FFEDEDED"/>
        </patternFill>
      </fill>
    </dxf>
    <dxf>
      <font>
        <color rgb="FF000000"/>
        <name val="Arial"/>
      </font>
      <fill>
        <patternFill>
          <bgColor rgb="FFC6E0B4"/>
        </patternFill>
      </fill>
    </dxf>
    <dxf>
      <font>
        <b/>
        <color rgb="FF000000"/>
        <name val="Arial"/>
      </font>
      <fill>
        <patternFill>
          <bgColor rgb="FFFFC000"/>
        </patternFill>
      </fill>
    </dxf>
    <dxf>
      <font>
        <b/>
        <color rgb="FFFFFFFF"/>
        <name val="Arial"/>
      </font>
      <fill>
        <patternFill>
          <bgColor rgb="FFC00000"/>
        </patternFill>
      </fill>
    </dxf>
    <dxf>
      <font>
        <b/>
        <color rgb="FF000000"/>
        <name val="Arial"/>
      </font>
      <fill>
        <patternFill>
          <bgColor rgb="FFF8CBAD"/>
        </patternFill>
      </fill>
    </dxf>
    <dxf>
      <font>
        <color rgb="FF000000"/>
        <name val="Arial"/>
      </font>
      <fill>
        <patternFill>
          <bgColor rgb="FFFFFFFF"/>
        </patternFill>
      </fill>
    </dxf>
    <dxf>
      <font>
        <color rgb="FF000000"/>
        <name val="Arial"/>
      </font>
      <fill>
        <patternFill>
          <bgColor rgb="FFDDEBF7"/>
        </patternFill>
      </fill>
    </dxf>
    <dxf>
      <font>
        <color rgb="FF000000"/>
        <name val="Arial"/>
      </font>
      <fill>
        <patternFill>
          <bgColor rgb="FFFFE699"/>
        </patternFill>
      </fill>
    </dxf>
    <dxf>
      <font>
        <color rgb="FF000000"/>
        <name val="Arial"/>
      </font>
      <fill>
        <patternFill>
          <bgColor rgb="FFBDD7EE"/>
        </patternFill>
      </fill>
    </dxf>
    <dxf>
      <font>
        <color rgb="FF000000"/>
        <name val="Arial"/>
      </font>
      <fill>
        <patternFill>
          <bgColor rgb="FFF8CBAD"/>
        </patternFill>
      </fill>
    </dxf>
    <dxf>
      <font>
        <color rgb="FF000000"/>
        <name val="Arial"/>
      </font>
      <fill>
        <patternFill>
          <bgColor rgb="FFD9D9D9"/>
        </patternFill>
      </fill>
    </dxf>
    <dxf>
      <font>
        <color rgb="FF000000"/>
        <name val="Arial"/>
      </font>
      <fill>
        <patternFill>
          <bgColor rgb="FFC6E0B4"/>
        </patternFill>
      </fill>
    </dxf>
    <dxf>
      <font>
        <b/>
        <color rgb="FF000000"/>
        <name val="Arial"/>
      </font>
      <fill>
        <patternFill>
          <bgColor rgb="FFC6E0B4"/>
        </patternFill>
      </fill>
    </dxf>
    <dxf>
      <font>
        <b/>
        <color rgb="FF000000"/>
        <name val="Arial"/>
      </font>
      <fill>
        <patternFill>
          <bgColor rgb="FFFFE699"/>
        </patternFill>
      </fill>
    </dxf>
    <dxf>
      <font>
        <b/>
        <color rgb="FF000000"/>
        <name val="Arial"/>
      </font>
      <fill>
        <patternFill>
          <bgColor rgb="FFF4B183"/>
        </patternFill>
      </fill>
    </dxf>
    <dxf>
      <font>
        <b/>
        <color rgb="FFFFFFFF"/>
        <name val="Arial"/>
      </font>
      <fill>
        <patternFill>
          <bgColor rgb="FFC00000"/>
        </patternFill>
      </fill>
    </dxf>
  </dxfs>
  <tableStyles count="0" defaultTableStyle="TableStyleMedium9" defaultPivotStyle="PivotStyleLight16"/>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BFBFBF"/>
      <rgbColor rgb="FF878787"/>
      <rgbColor rgb="FF9999FF"/>
      <rgbColor rgb="FF993366"/>
      <rgbColor rgb="FFFFF9DB"/>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DEDED"/>
      <rgbColor rgb="FFFFE699"/>
      <rgbColor rgb="FFC6E0B4"/>
      <rgbColor rgb="FFF4B183"/>
      <rgbColor rgb="FFD9D9D9"/>
      <rgbColor rgb="FFF8CBAD"/>
      <rgbColor rgb="FF4F81BD"/>
      <rgbColor rgb="FF33CCCC"/>
      <rgbColor rgb="FF99CC00"/>
      <rgbColor rgb="FFFFC0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Tickets by Status</a:t>
            </a:r>
          </a:p>
        </c:rich>
      </c:tx>
      <c:layout/>
      <c:spPr>
        <a:noFill/>
        <a:ln w="0">
          <a:noFill/>
        </a:ln>
      </c:spPr>
    </c:title>
    <c:plotArea>
      <c:layout/>
      <c:barChart>
        <c:barDir val="col"/>
        <c:grouping val="clustered"/>
        <c:ser>
          <c:idx val="0"/>
          <c:order val="0"/>
          <c:tx>
            <c:strRef>
              <c:f>Dashboard!$B$17</c:f>
              <c:strCache>
                <c:ptCount val="1"/>
                <c:pt idx="0">
                  <c:v>Count</c:v>
                </c:pt>
              </c:strCache>
            </c:strRef>
          </c:tx>
          <c:spPr>
            <a:solidFill>
              <a:srgbClr val="4F81BD"/>
            </a:solidFill>
            <a:ln w="0">
              <a:noFill/>
            </a:ln>
          </c:spPr>
          <c:cat>
            <c:strRef>
              <c:f>Dashboard!$A$18:$A$24</c:f>
              <c:strCache>
                <c:ptCount val="7"/>
                <c:pt idx="0">
                  <c:v>New</c:v>
                </c:pt>
                <c:pt idx="1">
                  <c:v>Open</c:v>
                </c:pt>
                <c:pt idx="2">
                  <c:v>In Progress</c:v>
                </c:pt>
                <c:pt idx="3">
                  <c:v>Pending Customer</c:v>
                </c:pt>
                <c:pt idx="4">
                  <c:v>Escalated</c:v>
                </c:pt>
                <c:pt idx="5">
                  <c:v>Resolved</c:v>
                </c:pt>
                <c:pt idx="6">
                  <c:v>Closed</c:v>
                </c:pt>
              </c:strCache>
            </c:strRef>
          </c:cat>
          <c:val>
            <c:numRef>
              <c:f>Dashboard!$B$18:$B$24</c:f>
              <c:numCache>
                <c:formatCode>General</c:formatCode>
                <c:ptCount val="7"/>
                <c:pt idx="0">
                  <c:v>14</c:v>
                </c:pt>
                <c:pt idx="1">
                  <c:v>1</c:v>
                </c:pt>
                <c:pt idx="2">
                  <c:v>1</c:v>
                </c:pt>
                <c:pt idx="3">
                  <c:v>1</c:v>
                </c:pt>
                <c:pt idx="4">
                  <c:v>1</c:v>
                </c:pt>
                <c:pt idx="5">
                  <c:v>2</c:v>
                </c:pt>
                <c:pt idx="6">
                  <c:v>0</c:v>
                </c:pt>
              </c:numCache>
            </c:numRef>
          </c:val>
        </c:ser>
        <c:axId val="120062720"/>
        <c:axId val="120064256"/>
      </c:barChart>
      <c:catAx>
        <c:axId val="120062720"/>
        <c:scaling>
          <c:orientation val="minMax"/>
        </c:scaling>
        <c:axPos val="b"/>
        <c:numFmt formatCode="General" sourceLinked="1"/>
        <c:maj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0064256"/>
        <c:crosses val="autoZero"/>
        <c:auto val="1"/>
        <c:lblAlgn val="ctr"/>
        <c:lblOffset val="100"/>
      </c:catAx>
      <c:valAx>
        <c:axId val="120064256"/>
        <c:scaling>
          <c:orientation val="minMax"/>
        </c:scaling>
        <c:axPos val="l"/>
        <c:majorGridlines>
          <c:spPr>
            <a:ln w="9360">
              <a:solidFill>
                <a:srgbClr val="878787"/>
              </a:solidFill>
              <a:round/>
            </a:ln>
          </c:spPr>
        </c:majorGridlines>
        <c:numFmt formatCode="General" sourceLinked="1"/>
        <c:maj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0062720"/>
        <c:crosses val="autoZero"/>
        <c:crossBetween val="between"/>
      </c:valAx>
      <c:spPr>
        <a:noFill/>
        <a:ln w="0">
          <a:noFill/>
        </a:ln>
      </c:spPr>
    </c:plotArea>
    <c:plotVisOnly val="1"/>
    <c:dispBlanksAs val="gap"/>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Tickets by Priority</a:t>
            </a:r>
          </a:p>
        </c:rich>
      </c:tx>
      <c:layout/>
      <c:spPr>
        <a:noFill/>
        <a:ln w="0">
          <a:noFill/>
        </a:ln>
      </c:spPr>
    </c:title>
    <c:plotArea>
      <c:layout/>
      <c:barChart>
        <c:barDir val="col"/>
        <c:grouping val="clustered"/>
        <c:ser>
          <c:idx val="0"/>
          <c:order val="0"/>
          <c:tx>
            <c:strRef>
              <c:f>Dashboard!$B$27</c:f>
              <c:strCache>
                <c:ptCount val="1"/>
                <c:pt idx="0">
                  <c:v>Count</c:v>
                </c:pt>
              </c:strCache>
            </c:strRef>
          </c:tx>
          <c:spPr>
            <a:solidFill>
              <a:srgbClr val="4F81BD"/>
            </a:solidFill>
            <a:ln w="0">
              <a:noFill/>
            </a:ln>
          </c:spPr>
          <c:cat>
            <c:strRef>
              <c:f>Dashboard!$A$28:$A$31</c:f>
              <c:strCache>
                <c:ptCount val="4"/>
                <c:pt idx="0">
                  <c:v>Critical</c:v>
                </c:pt>
                <c:pt idx="1">
                  <c:v>High</c:v>
                </c:pt>
                <c:pt idx="2">
                  <c:v>Medium</c:v>
                </c:pt>
                <c:pt idx="3">
                  <c:v>Low</c:v>
                </c:pt>
              </c:strCache>
            </c:strRef>
          </c:cat>
          <c:val>
            <c:numRef>
              <c:f>Dashboard!$B$28:$B$31</c:f>
              <c:numCache>
                <c:formatCode>General</c:formatCode>
                <c:ptCount val="4"/>
                <c:pt idx="0">
                  <c:v>1</c:v>
                </c:pt>
                <c:pt idx="1">
                  <c:v>7</c:v>
                </c:pt>
                <c:pt idx="2">
                  <c:v>7</c:v>
                </c:pt>
                <c:pt idx="3">
                  <c:v>5</c:v>
                </c:pt>
              </c:numCache>
            </c:numRef>
          </c:val>
        </c:ser>
        <c:axId val="120101120"/>
        <c:axId val="120115200"/>
      </c:barChart>
      <c:catAx>
        <c:axId val="120101120"/>
        <c:scaling>
          <c:orientation val="minMax"/>
        </c:scaling>
        <c:axPos val="b"/>
        <c:numFmt formatCode="General" sourceLinked="1"/>
        <c:maj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0115200"/>
        <c:crosses val="autoZero"/>
        <c:auto val="1"/>
        <c:lblAlgn val="ctr"/>
        <c:lblOffset val="100"/>
      </c:catAx>
      <c:valAx>
        <c:axId val="120115200"/>
        <c:scaling>
          <c:orientation val="minMax"/>
        </c:scaling>
        <c:axPos val="l"/>
        <c:majorGridlines>
          <c:spPr>
            <a:ln w="9360">
              <a:solidFill>
                <a:srgbClr val="878787"/>
              </a:solidFill>
              <a:round/>
            </a:ln>
          </c:spPr>
        </c:majorGridlines>
        <c:numFmt formatCode="General" sourceLinked="1"/>
        <c:maj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0101120"/>
        <c:crosses val="autoZero"/>
        <c:crossBetween val="between"/>
      </c:valAx>
      <c:spPr>
        <a:noFill/>
        <a:ln w="0">
          <a:noFill/>
        </a:ln>
      </c:spPr>
    </c:plotArea>
    <c:plotVisOnly val="1"/>
    <c:dispBlanksAs val="gap"/>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Tickets by Category</a:t>
            </a:r>
          </a:p>
        </c:rich>
      </c:tx>
      <c:layout/>
      <c:spPr>
        <a:noFill/>
        <a:ln w="0">
          <a:noFill/>
        </a:ln>
      </c:spPr>
    </c:title>
    <c:plotArea>
      <c:layout/>
      <c:barChart>
        <c:barDir val="col"/>
        <c:grouping val="clustered"/>
        <c:ser>
          <c:idx val="0"/>
          <c:order val="0"/>
          <c:tx>
            <c:strRef>
              <c:f>Dashboard!$B$33</c:f>
              <c:strCache>
                <c:ptCount val="1"/>
                <c:pt idx="0">
                  <c:v>Count</c:v>
                </c:pt>
              </c:strCache>
            </c:strRef>
          </c:tx>
          <c:spPr>
            <a:solidFill>
              <a:srgbClr val="4F81BD"/>
            </a:solidFill>
            <a:ln w="0">
              <a:noFill/>
            </a:ln>
          </c:spPr>
          <c:cat>
            <c:strRef>
              <c:f>Dashboard!$A$34:$A$42</c:f>
              <c:strCache>
                <c:ptCount val="9"/>
                <c:pt idx="0">
                  <c:v>Billing &amp; Payments</c:v>
                </c:pt>
                <c:pt idx="1">
                  <c:v>Shipping &amp; Delivery</c:v>
                </c:pt>
                <c:pt idx="2">
                  <c:v>Product Defect</c:v>
                </c:pt>
                <c:pt idx="3">
                  <c:v>Returns &amp; Refunds</c:v>
                </c:pt>
                <c:pt idx="4">
                  <c:v>Account &amp; Login</c:v>
                </c:pt>
                <c:pt idx="5">
                  <c:v>Technical Support</c:v>
                </c:pt>
                <c:pt idx="6">
                  <c:v>Order Changes &amp; Cancellation</c:v>
                </c:pt>
                <c:pt idx="7">
                  <c:v>Complaint / Feedback</c:v>
                </c:pt>
                <c:pt idx="8">
                  <c:v>Data Privacy &amp; Security</c:v>
                </c:pt>
              </c:strCache>
            </c:strRef>
          </c:cat>
          <c:val>
            <c:numRef>
              <c:f>Dashboard!$B$34:$B$42</c:f>
              <c:numCache>
                <c:formatCode>General</c:formatCode>
                <c:ptCount val="9"/>
                <c:pt idx="0">
                  <c:v>4</c:v>
                </c:pt>
                <c:pt idx="1">
                  <c:v>3</c:v>
                </c:pt>
                <c:pt idx="2">
                  <c:v>1</c:v>
                </c:pt>
                <c:pt idx="3">
                  <c:v>2</c:v>
                </c:pt>
                <c:pt idx="4">
                  <c:v>1</c:v>
                </c:pt>
                <c:pt idx="5">
                  <c:v>3</c:v>
                </c:pt>
                <c:pt idx="6">
                  <c:v>2</c:v>
                </c:pt>
                <c:pt idx="7">
                  <c:v>2</c:v>
                </c:pt>
                <c:pt idx="8">
                  <c:v>2</c:v>
                </c:pt>
              </c:numCache>
            </c:numRef>
          </c:val>
        </c:ser>
        <c:axId val="120475648"/>
        <c:axId val="120477184"/>
      </c:barChart>
      <c:catAx>
        <c:axId val="120475648"/>
        <c:scaling>
          <c:orientation val="minMax"/>
        </c:scaling>
        <c:axPos val="b"/>
        <c:numFmt formatCode="General" sourceLinked="1"/>
        <c:maj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0477184"/>
        <c:crosses val="autoZero"/>
        <c:auto val="1"/>
        <c:lblAlgn val="ctr"/>
        <c:lblOffset val="100"/>
      </c:catAx>
      <c:valAx>
        <c:axId val="120477184"/>
        <c:scaling>
          <c:orientation val="minMax"/>
        </c:scaling>
        <c:axPos val="l"/>
        <c:majorGridlines>
          <c:spPr>
            <a:ln w="9360">
              <a:solidFill>
                <a:srgbClr val="878787"/>
              </a:solidFill>
              <a:round/>
            </a:ln>
          </c:spPr>
        </c:majorGridlines>
        <c:numFmt formatCode="General" sourceLinked="1"/>
        <c:maj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20475648"/>
        <c:crosses val="autoZero"/>
        <c:crossBetween val="between"/>
      </c:valAx>
      <c:spPr>
        <a:noFill/>
        <a:ln w="0">
          <a:noFill/>
        </a:ln>
      </c:spPr>
    </c:plotArea>
    <c:plotVisOnly val="1"/>
    <c:dispBlanksAs val="gap"/>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2</xdr:row>
      <xdr:rowOff>131040</xdr:rowOff>
    </xdr:from>
    <xdr:to>
      <xdr:col>11</xdr:col>
      <xdr:colOff>507600</xdr:colOff>
      <xdr:row>16</xdr:row>
      <xdr:rowOff>163800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18</xdr:row>
      <xdr:rowOff>130680</xdr:rowOff>
    </xdr:from>
    <xdr:to>
      <xdr:col>11</xdr:col>
      <xdr:colOff>507600</xdr:colOff>
      <xdr:row>32</xdr:row>
      <xdr:rowOff>163440</xdr:rowOff>
    </xdr:to>
    <xdr:graphicFrame macro="">
      <xdr:nvGraphicFramePr>
        <xdr:cNvPr id="0"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0</xdr:colOff>
      <xdr:row>34</xdr:row>
      <xdr:rowOff>131040</xdr:rowOff>
    </xdr:from>
    <xdr:to>
      <xdr:col>14</xdr:col>
      <xdr:colOff>473040</xdr:colOff>
      <xdr:row>48</xdr:row>
      <xdr:rowOff>163440</xdr:rowOff>
    </xdr:to>
    <xdr:graphicFrame macro="">
      <xdr:nvGraphicFramePr>
        <xdr:cNvPr id="3"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B20"/>
  <sheetViews>
    <sheetView showGridLines="0" tabSelected="1" workbookViewId="0">
      <selection activeCell="A7" sqref="A7"/>
    </sheetView>
  </sheetViews>
  <sheetFormatPr defaultColWidth="8.6640625" defaultRowHeight="14.4"/>
  <cols>
    <col min="1" max="1" width="28" customWidth="1"/>
    <col min="2" max="2" width="100" customWidth="1"/>
  </cols>
  <sheetData>
    <row r="1" spans="1:2" ht="21">
      <c r="A1" s="1" t="s">
        <v>0</v>
      </c>
      <c r="B1" s="1" t="s">
        <v>0</v>
      </c>
    </row>
    <row r="3" spans="1:2" ht="30" customHeight="1">
      <c r="A3" s="2" t="s">
        <v>1</v>
      </c>
      <c r="B3" s="3" t="s">
        <v>2</v>
      </c>
    </row>
    <row r="4" spans="1:2" ht="30" customHeight="1">
      <c r="A4" s="2" t="s">
        <v>3</v>
      </c>
      <c r="B4" s="3" t="s">
        <v>4</v>
      </c>
    </row>
    <row r="5" spans="1:2">
      <c r="A5" s="4" t="s">
        <v>5</v>
      </c>
      <c r="B5" s="5"/>
    </row>
    <row r="6" spans="1:2" ht="30" customHeight="1">
      <c r="A6" s="2" t="s">
        <v>6</v>
      </c>
      <c r="B6" s="3" t="s">
        <v>7</v>
      </c>
    </row>
    <row r="7" spans="1:2" ht="30" customHeight="1">
      <c r="A7" s="2" t="s">
        <v>8</v>
      </c>
      <c r="B7" s="3" t="s">
        <v>9</v>
      </c>
    </row>
    <row r="8" spans="1:2">
      <c r="A8" s="2" t="s">
        <v>10</v>
      </c>
      <c r="B8" s="3" t="s">
        <v>11</v>
      </c>
    </row>
    <row r="9" spans="1:2">
      <c r="A9" s="2" t="s">
        <v>12</v>
      </c>
      <c r="B9" s="3" t="s">
        <v>13</v>
      </c>
    </row>
    <row r="10" spans="1:2">
      <c r="A10" s="4" t="s">
        <v>14</v>
      </c>
      <c r="B10" s="5"/>
    </row>
    <row r="11" spans="1:2">
      <c r="A11" s="2" t="s">
        <v>15</v>
      </c>
      <c r="B11" s="3" t="s">
        <v>16</v>
      </c>
    </row>
    <row r="12" spans="1:2">
      <c r="A12" s="2" t="s">
        <v>17</v>
      </c>
      <c r="B12" s="3" t="s">
        <v>18</v>
      </c>
    </row>
    <row r="13" spans="1:2">
      <c r="A13" s="2" t="s">
        <v>19</v>
      </c>
      <c r="B13" s="3" t="s">
        <v>20</v>
      </c>
    </row>
    <row r="14" spans="1:2">
      <c r="A14" s="4" t="s">
        <v>21</v>
      </c>
      <c r="B14" s="5"/>
    </row>
    <row r="15" spans="1:2" ht="30" customHeight="1">
      <c r="A15" s="2" t="s">
        <v>22</v>
      </c>
      <c r="B15" s="3" t="s">
        <v>23</v>
      </c>
    </row>
    <row r="16" spans="1:2">
      <c r="A16" s="2" t="s">
        <v>24</v>
      </c>
      <c r="B16" s="3" t="s">
        <v>25</v>
      </c>
    </row>
    <row r="17" spans="1:2" ht="30" customHeight="1">
      <c r="A17" s="2" t="s">
        <v>26</v>
      </c>
      <c r="B17" s="3" t="s">
        <v>27</v>
      </c>
    </row>
    <row r="18" spans="1:2" ht="30" customHeight="1">
      <c r="A18" s="2" t="s">
        <v>28</v>
      </c>
      <c r="B18" s="3" t="s">
        <v>29</v>
      </c>
    </row>
    <row r="19" spans="1:2">
      <c r="A19" s="2" t="s">
        <v>30</v>
      </c>
      <c r="B19" s="3" t="s">
        <v>31</v>
      </c>
    </row>
    <row r="20" spans="1:2" ht="45" customHeight="1">
      <c r="A20" s="2" t="s">
        <v>32</v>
      </c>
      <c r="B20" s="3" t="s">
        <v>33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dimension ref="A1:T204"/>
  <sheetViews>
    <sheetView workbookViewId="0">
      <pane xSplit="3" ySplit="4" topLeftCell="D5" activePane="bottomRight" state="frozen"/>
      <selection pane="topRight" activeCell="D1" sqref="D1"/>
      <selection pane="bottomLeft" activeCell="A5" sqref="A5"/>
      <selection pane="bottomRight"/>
    </sheetView>
  </sheetViews>
  <sheetFormatPr defaultColWidth="8.6640625" defaultRowHeight="14.4"/>
  <cols>
    <col min="1" max="1" width="10" customWidth="1"/>
    <col min="2" max="2" width="13" customWidth="1"/>
    <col min="3" max="3" width="12" customWidth="1"/>
    <col min="4" max="4" width="20" customWidth="1"/>
    <col min="5" max="5" width="17" customWidth="1"/>
    <col min="6" max="6" width="13" customWidth="1"/>
    <col min="7" max="7" width="24" customWidth="1"/>
    <col min="8" max="8" width="34" customWidth="1"/>
    <col min="9" max="9" width="10" customWidth="1"/>
    <col min="10" max="10" width="16" customWidth="1"/>
    <col min="11" max="11" width="14" customWidth="1"/>
    <col min="12" max="12" width="46" customWidth="1"/>
    <col min="13" max="13" width="13" customWidth="1"/>
    <col min="14" max="14" width="36" customWidth="1"/>
    <col min="15" max="16" width="14" customWidth="1"/>
    <col min="17" max="17" width="9" customWidth="1"/>
    <col min="18" max="18" width="10" customWidth="1"/>
    <col min="19" max="19" width="18" customWidth="1"/>
    <col min="20" max="20" width="16" customWidth="1"/>
  </cols>
  <sheetData>
    <row r="1" spans="1:20" ht="21">
      <c r="A1" s="1" t="s">
        <v>34</v>
      </c>
    </row>
    <row r="2" spans="1:20">
      <c r="A2" s="6" t="s">
        <v>35</v>
      </c>
    </row>
    <row r="4" spans="1:20" ht="36" customHeight="1">
      <c r="A4" s="7" t="s">
        <v>36</v>
      </c>
      <c r="B4" s="7" t="s">
        <v>37</v>
      </c>
      <c r="C4" s="7" t="s">
        <v>38</v>
      </c>
      <c r="D4" s="7" t="s">
        <v>39</v>
      </c>
      <c r="E4" s="7" t="s">
        <v>40</v>
      </c>
      <c r="F4" s="7" t="s">
        <v>41</v>
      </c>
      <c r="G4" s="7" t="s">
        <v>42</v>
      </c>
      <c r="H4" s="7" t="s">
        <v>43</v>
      </c>
      <c r="I4" s="7" t="s">
        <v>44</v>
      </c>
      <c r="J4" s="7" t="s">
        <v>45</v>
      </c>
      <c r="K4" s="7" t="s">
        <v>46</v>
      </c>
      <c r="L4" s="7" t="s">
        <v>47</v>
      </c>
      <c r="M4" s="7" t="s">
        <v>48</v>
      </c>
      <c r="N4" s="7" t="s">
        <v>49</v>
      </c>
      <c r="O4" s="7" t="s">
        <v>50</v>
      </c>
      <c r="P4" s="7" t="s">
        <v>51</v>
      </c>
      <c r="Q4" s="7" t="s">
        <v>52</v>
      </c>
      <c r="R4" s="7" t="s">
        <v>53</v>
      </c>
      <c r="S4" s="7" t="s">
        <v>54</v>
      </c>
      <c r="T4" s="7" t="s">
        <v>55</v>
      </c>
    </row>
    <row r="5" spans="1:20" ht="42" customHeight="1">
      <c r="A5" s="8" t="s">
        <v>56</v>
      </c>
      <c r="B5" s="9">
        <v>46296</v>
      </c>
      <c r="C5" s="8" t="s">
        <v>57</v>
      </c>
      <c r="D5" s="10" t="s">
        <v>58</v>
      </c>
      <c r="E5" s="8" t="s">
        <v>59</v>
      </c>
      <c r="F5" s="8" t="s">
        <v>60</v>
      </c>
      <c r="G5" s="10" t="s">
        <v>61</v>
      </c>
      <c r="H5" s="10" t="s">
        <v>62</v>
      </c>
      <c r="I5" s="8" t="s">
        <v>63</v>
      </c>
      <c r="J5" s="8" t="s">
        <v>64</v>
      </c>
      <c r="K5" s="8" t="s">
        <v>65</v>
      </c>
      <c r="L5" s="10" t="s">
        <v>66</v>
      </c>
      <c r="M5" s="8" t="s">
        <v>67</v>
      </c>
      <c r="N5" s="10"/>
      <c r="O5" s="9">
        <v>46303</v>
      </c>
      <c r="P5" s="9">
        <v>46297</v>
      </c>
      <c r="Q5" s="11">
        <f t="shared" ref="Q5:Q36" ca="1" si="0">IF(B5="","",IF(P5&lt;&gt;"",P5-B5,TODAY()-B5))</f>
        <v>1</v>
      </c>
      <c r="R5" s="11">
        <f t="shared" ref="R5:R36" si="1">IF(I5="","",INDEX(SLA_Days,MATCH(I5,Priority_List,0)))</f>
        <v>2</v>
      </c>
      <c r="S5" s="12" t="str">
        <f t="shared" ref="S5:S36" ca="1" si="2">IF(OR(Q5="",R5=""),"",IF(P5&lt;&gt;"",IF(Q5&lt;=R5,"Met","Breached"),IF(Q5&gt;R5,"Breached - Still Open","On Track")))</f>
        <v>Met</v>
      </c>
      <c r="T5" s="12" t="str">
        <f t="shared" ref="T5:T36" ca="1" si="3">IF(C5="","",IF(OR(J5="Resolved",J5="Closed"),"Done",IF(O5="","No follow-up set",IF(O5&lt;TODAY(),"OVERDUE",IF(O5=TODAY(),"Due Today","Upcoming")))))</f>
        <v>Done</v>
      </c>
    </row>
    <row r="6" spans="1:20" ht="42" customHeight="1">
      <c r="A6" s="8" t="s">
        <v>68</v>
      </c>
      <c r="B6" s="9">
        <v>46296</v>
      </c>
      <c r="C6" s="8" t="s">
        <v>69</v>
      </c>
      <c r="D6" s="10" t="s">
        <v>70</v>
      </c>
      <c r="E6" s="8" t="s">
        <v>71</v>
      </c>
      <c r="F6" s="8" t="s">
        <v>72</v>
      </c>
      <c r="G6" s="10" t="s">
        <v>73</v>
      </c>
      <c r="H6" s="10" t="s">
        <v>74</v>
      </c>
      <c r="I6" s="8" t="s">
        <v>75</v>
      </c>
      <c r="J6" s="8" t="s">
        <v>76</v>
      </c>
      <c r="K6" s="8" t="s">
        <v>77</v>
      </c>
      <c r="L6" s="10" t="s">
        <v>78</v>
      </c>
      <c r="M6" s="8" t="s">
        <v>67</v>
      </c>
      <c r="N6" s="10"/>
      <c r="O6" s="9">
        <v>46309</v>
      </c>
      <c r="P6" s="9"/>
      <c r="Q6" s="11">
        <f t="shared" ca="1" si="0"/>
        <v>9</v>
      </c>
      <c r="R6" s="11">
        <f t="shared" si="1"/>
        <v>3</v>
      </c>
      <c r="S6" s="12" t="str">
        <f t="shared" ca="1" si="2"/>
        <v>Breached - Still Open</v>
      </c>
      <c r="T6" s="12" t="str">
        <f t="shared" ca="1" si="3"/>
        <v>Upcoming</v>
      </c>
    </row>
    <row r="7" spans="1:20" ht="42" customHeight="1">
      <c r="A7" s="8" t="s">
        <v>79</v>
      </c>
      <c r="B7" s="9">
        <v>46297</v>
      </c>
      <c r="C7" s="8" t="s">
        <v>80</v>
      </c>
      <c r="D7" s="10" t="s">
        <v>81</v>
      </c>
      <c r="E7" s="8" t="s">
        <v>82</v>
      </c>
      <c r="F7" s="8" t="s">
        <v>60</v>
      </c>
      <c r="G7" s="10" t="s">
        <v>83</v>
      </c>
      <c r="H7" s="10" t="s">
        <v>84</v>
      </c>
      <c r="I7" s="8" t="s">
        <v>63</v>
      </c>
      <c r="J7" s="8" t="s">
        <v>85</v>
      </c>
      <c r="K7" s="8" t="s">
        <v>65</v>
      </c>
      <c r="L7" s="10" t="s">
        <v>86</v>
      </c>
      <c r="M7" s="8" t="s">
        <v>87</v>
      </c>
      <c r="N7" s="10" t="s">
        <v>88</v>
      </c>
      <c r="O7" s="9">
        <v>46303</v>
      </c>
      <c r="P7" s="9"/>
      <c r="Q7" s="11">
        <f t="shared" ca="1" si="0"/>
        <v>8</v>
      </c>
      <c r="R7" s="11">
        <f t="shared" si="1"/>
        <v>2</v>
      </c>
      <c r="S7" s="12" t="str">
        <f t="shared" ca="1" si="2"/>
        <v>Breached - Still Open</v>
      </c>
      <c r="T7" s="12" t="str">
        <f t="shared" ca="1" si="3"/>
        <v>OVERDUE</v>
      </c>
    </row>
    <row r="8" spans="1:20" ht="42" customHeight="1">
      <c r="A8" s="8" t="s">
        <v>89</v>
      </c>
      <c r="B8" s="9">
        <v>46298</v>
      </c>
      <c r="C8" s="8" t="s">
        <v>90</v>
      </c>
      <c r="D8" s="10" t="s">
        <v>91</v>
      </c>
      <c r="E8" s="8" t="s">
        <v>92</v>
      </c>
      <c r="F8" s="8" t="s">
        <v>60</v>
      </c>
      <c r="G8" s="10" t="s">
        <v>93</v>
      </c>
      <c r="H8" s="10" t="s">
        <v>94</v>
      </c>
      <c r="I8" s="8" t="s">
        <v>75</v>
      </c>
      <c r="J8" s="8" t="s">
        <v>95</v>
      </c>
      <c r="K8" s="8" t="s">
        <v>96</v>
      </c>
      <c r="L8" s="10" t="s">
        <v>97</v>
      </c>
      <c r="M8" s="8" t="s">
        <v>67</v>
      </c>
      <c r="N8" s="10"/>
      <c r="O8" s="9">
        <v>46307</v>
      </c>
      <c r="P8" s="9"/>
      <c r="Q8" s="11">
        <f t="shared" ca="1" si="0"/>
        <v>7</v>
      </c>
      <c r="R8" s="11">
        <f t="shared" si="1"/>
        <v>3</v>
      </c>
      <c r="S8" s="12" t="str">
        <f t="shared" ca="1" si="2"/>
        <v>Breached - Still Open</v>
      </c>
      <c r="T8" s="12" t="str">
        <f t="shared" ca="1" si="3"/>
        <v>Upcoming</v>
      </c>
    </row>
    <row r="9" spans="1:20" ht="42" customHeight="1">
      <c r="A9" s="8" t="s">
        <v>98</v>
      </c>
      <c r="B9" s="9">
        <v>46298</v>
      </c>
      <c r="C9" s="8" t="s">
        <v>99</v>
      </c>
      <c r="D9" s="10" t="s">
        <v>100</v>
      </c>
      <c r="E9" s="8" t="s">
        <v>101</v>
      </c>
      <c r="F9" s="8" t="s">
        <v>102</v>
      </c>
      <c r="G9" s="10" t="s">
        <v>103</v>
      </c>
      <c r="H9" s="10" t="s">
        <v>104</v>
      </c>
      <c r="I9" s="8" t="s">
        <v>63</v>
      </c>
      <c r="J9" s="8" t="s">
        <v>64</v>
      </c>
      <c r="K9" s="8" t="s">
        <v>77</v>
      </c>
      <c r="L9" s="10" t="s">
        <v>105</v>
      </c>
      <c r="M9" s="8" t="s">
        <v>67</v>
      </c>
      <c r="N9" s="10"/>
      <c r="O9" s="9">
        <v>46304</v>
      </c>
      <c r="P9" s="9">
        <v>46300</v>
      </c>
      <c r="Q9" s="11">
        <f t="shared" ca="1" si="0"/>
        <v>2</v>
      </c>
      <c r="R9" s="11">
        <f t="shared" si="1"/>
        <v>2</v>
      </c>
      <c r="S9" s="12" t="str">
        <f t="shared" ca="1" si="2"/>
        <v>Met</v>
      </c>
      <c r="T9" s="12" t="str">
        <f t="shared" ca="1" si="3"/>
        <v>Done</v>
      </c>
    </row>
    <row r="10" spans="1:20" ht="42" customHeight="1">
      <c r="A10" s="8" t="s">
        <v>106</v>
      </c>
      <c r="B10" s="9">
        <v>46300</v>
      </c>
      <c r="C10" s="8" t="s">
        <v>107</v>
      </c>
      <c r="D10" s="10" t="s">
        <v>108</v>
      </c>
      <c r="E10" s="8" t="s">
        <v>109</v>
      </c>
      <c r="F10" s="8" t="s">
        <v>72</v>
      </c>
      <c r="G10" s="10" t="s">
        <v>110</v>
      </c>
      <c r="H10" s="10" t="s">
        <v>111</v>
      </c>
      <c r="I10" s="8" t="s">
        <v>75</v>
      </c>
      <c r="J10" s="8" t="s">
        <v>112</v>
      </c>
      <c r="K10" s="8" t="s">
        <v>96</v>
      </c>
      <c r="L10" s="10" t="s">
        <v>113</v>
      </c>
      <c r="M10" s="8" t="s">
        <v>67</v>
      </c>
      <c r="N10" s="10"/>
      <c r="O10" s="9">
        <v>46305</v>
      </c>
      <c r="P10" s="9"/>
      <c r="Q10" s="11">
        <f t="shared" ca="1" si="0"/>
        <v>5</v>
      </c>
      <c r="R10" s="11">
        <f t="shared" si="1"/>
        <v>3</v>
      </c>
      <c r="S10" s="12" t="str">
        <f t="shared" ca="1" si="2"/>
        <v>Breached - Still Open</v>
      </c>
      <c r="T10" s="12" t="str">
        <f t="shared" ca="1" si="3"/>
        <v>Due Today</v>
      </c>
    </row>
    <row r="11" spans="1:20" ht="42" customHeight="1">
      <c r="A11" s="8" t="s">
        <v>114</v>
      </c>
      <c r="B11" s="9">
        <v>46301</v>
      </c>
      <c r="C11" s="8" t="s">
        <v>115</v>
      </c>
      <c r="D11" s="10" t="s">
        <v>116</v>
      </c>
      <c r="E11" s="8" t="s">
        <v>117</v>
      </c>
      <c r="F11" s="8" t="s">
        <v>60</v>
      </c>
      <c r="G11" s="10" t="s">
        <v>118</v>
      </c>
      <c r="H11" s="10" t="s">
        <v>119</v>
      </c>
      <c r="I11" s="8" t="s">
        <v>120</v>
      </c>
      <c r="J11" s="8" t="s">
        <v>121</v>
      </c>
      <c r="K11" s="8"/>
      <c r="L11" s="10"/>
      <c r="M11" s="8"/>
      <c r="N11" s="10"/>
      <c r="O11" s="9"/>
      <c r="P11" s="9"/>
      <c r="Q11" s="11">
        <f t="shared" ca="1" si="0"/>
        <v>4</v>
      </c>
      <c r="R11" s="11">
        <f t="shared" si="1"/>
        <v>5</v>
      </c>
      <c r="S11" s="12" t="str">
        <f t="shared" ca="1" si="2"/>
        <v>On Track</v>
      </c>
      <c r="T11" s="12" t="str">
        <f t="shared" ca="1" si="3"/>
        <v>No follow-up set</v>
      </c>
    </row>
    <row r="12" spans="1:20" ht="42" customHeight="1">
      <c r="A12" s="8" t="s">
        <v>122</v>
      </c>
      <c r="B12" s="9">
        <v>46301</v>
      </c>
      <c r="C12" s="8" t="s">
        <v>123</v>
      </c>
      <c r="D12" s="10" t="s">
        <v>124</v>
      </c>
      <c r="E12" s="8" t="s">
        <v>125</v>
      </c>
      <c r="F12" s="8" t="s">
        <v>126</v>
      </c>
      <c r="G12" s="10" t="s">
        <v>127</v>
      </c>
      <c r="H12" s="10" t="s">
        <v>128</v>
      </c>
      <c r="I12" s="8" t="s">
        <v>63</v>
      </c>
      <c r="J12" s="8" t="s">
        <v>121</v>
      </c>
      <c r="K12" s="8"/>
      <c r="L12" s="10"/>
      <c r="M12" s="8"/>
      <c r="N12" s="10"/>
      <c r="O12" s="9"/>
      <c r="P12" s="9"/>
      <c r="Q12" s="11">
        <f t="shared" ca="1" si="0"/>
        <v>4</v>
      </c>
      <c r="R12" s="11">
        <f t="shared" si="1"/>
        <v>2</v>
      </c>
      <c r="S12" s="12" t="str">
        <f t="shared" ca="1" si="2"/>
        <v>Breached - Still Open</v>
      </c>
      <c r="T12" s="12" t="str">
        <f t="shared" ca="1" si="3"/>
        <v>No follow-up set</v>
      </c>
    </row>
    <row r="13" spans="1:20" ht="42" customHeight="1">
      <c r="A13" s="8" t="s">
        <v>129</v>
      </c>
      <c r="B13" s="9">
        <v>46302</v>
      </c>
      <c r="C13" s="8" t="s">
        <v>130</v>
      </c>
      <c r="D13" s="10" t="s">
        <v>131</v>
      </c>
      <c r="E13" s="8" t="s">
        <v>132</v>
      </c>
      <c r="F13" s="8" t="s">
        <v>133</v>
      </c>
      <c r="G13" s="10" t="s">
        <v>73</v>
      </c>
      <c r="H13" s="10" t="s">
        <v>134</v>
      </c>
      <c r="I13" s="8" t="s">
        <v>63</v>
      </c>
      <c r="J13" s="8" t="s">
        <v>121</v>
      </c>
      <c r="K13" s="8"/>
      <c r="L13" s="10"/>
      <c r="M13" s="8"/>
      <c r="N13" s="10"/>
      <c r="O13" s="9"/>
      <c r="P13" s="9"/>
      <c r="Q13" s="11">
        <f t="shared" ca="1" si="0"/>
        <v>3</v>
      </c>
      <c r="R13" s="11">
        <f t="shared" si="1"/>
        <v>2</v>
      </c>
      <c r="S13" s="12" t="str">
        <f t="shared" ca="1" si="2"/>
        <v>Breached - Still Open</v>
      </c>
      <c r="T13" s="12" t="str">
        <f t="shared" ca="1" si="3"/>
        <v>No follow-up set</v>
      </c>
    </row>
    <row r="14" spans="1:20" ht="42" customHeight="1">
      <c r="A14" s="8" t="s">
        <v>135</v>
      </c>
      <c r="B14" s="9">
        <v>46302</v>
      </c>
      <c r="C14" s="8" t="s">
        <v>136</v>
      </c>
      <c r="D14" s="10" t="s">
        <v>137</v>
      </c>
      <c r="E14" s="8" t="s">
        <v>138</v>
      </c>
      <c r="F14" s="8" t="s">
        <v>60</v>
      </c>
      <c r="G14" s="10" t="s">
        <v>139</v>
      </c>
      <c r="H14" s="10" t="s">
        <v>140</v>
      </c>
      <c r="I14" s="8" t="s">
        <v>75</v>
      </c>
      <c r="J14" s="8" t="s">
        <v>121</v>
      </c>
      <c r="K14" s="8"/>
      <c r="L14" s="10"/>
      <c r="M14" s="8"/>
      <c r="N14" s="10"/>
      <c r="O14" s="9"/>
      <c r="P14" s="9"/>
      <c r="Q14" s="11">
        <f t="shared" ca="1" si="0"/>
        <v>3</v>
      </c>
      <c r="R14" s="11">
        <f t="shared" si="1"/>
        <v>3</v>
      </c>
      <c r="S14" s="12" t="str">
        <f t="shared" ca="1" si="2"/>
        <v>On Track</v>
      </c>
      <c r="T14" s="12" t="str">
        <f t="shared" ca="1" si="3"/>
        <v>No follow-up set</v>
      </c>
    </row>
    <row r="15" spans="1:20" ht="42" customHeight="1">
      <c r="A15" s="8" t="s">
        <v>141</v>
      </c>
      <c r="B15" s="9">
        <v>46303</v>
      </c>
      <c r="C15" s="8" t="s">
        <v>142</v>
      </c>
      <c r="D15" s="10" t="s">
        <v>143</v>
      </c>
      <c r="E15" s="8" t="s">
        <v>144</v>
      </c>
      <c r="F15" s="8" t="s">
        <v>60</v>
      </c>
      <c r="G15" s="10" t="s">
        <v>73</v>
      </c>
      <c r="H15" s="10" t="s">
        <v>145</v>
      </c>
      <c r="I15" s="8" t="s">
        <v>120</v>
      </c>
      <c r="J15" s="8" t="s">
        <v>121</v>
      </c>
      <c r="K15" s="8"/>
      <c r="L15" s="10"/>
      <c r="M15" s="8"/>
      <c r="N15" s="10"/>
      <c r="O15" s="9"/>
      <c r="P15" s="9"/>
      <c r="Q15" s="11">
        <f t="shared" ca="1" si="0"/>
        <v>2</v>
      </c>
      <c r="R15" s="11">
        <f t="shared" si="1"/>
        <v>5</v>
      </c>
      <c r="S15" s="12" t="str">
        <f t="shared" ca="1" si="2"/>
        <v>On Track</v>
      </c>
      <c r="T15" s="12" t="str">
        <f t="shared" ca="1" si="3"/>
        <v>No follow-up set</v>
      </c>
    </row>
    <row r="16" spans="1:20" ht="42" customHeight="1">
      <c r="A16" s="8" t="s">
        <v>146</v>
      </c>
      <c r="B16" s="9">
        <v>46303</v>
      </c>
      <c r="C16" s="8" t="s">
        <v>147</v>
      </c>
      <c r="D16" s="10" t="s">
        <v>148</v>
      </c>
      <c r="E16" s="8" t="s">
        <v>149</v>
      </c>
      <c r="F16" s="8" t="s">
        <v>133</v>
      </c>
      <c r="G16" s="10" t="s">
        <v>83</v>
      </c>
      <c r="H16" s="10" t="s">
        <v>150</v>
      </c>
      <c r="I16" s="8" t="s">
        <v>151</v>
      </c>
      <c r="J16" s="8" t="s">
        <v>121</v>
      </c>
      <c r="K16" s="8"/>
      <c r="L16" s="10"/>
      <c r="M16" s="8"/>
      <c r="N16" s="10"/>
      <c r="O16" s="9"/>
      <c r="P16" s="9"/>
      <c r="Q16" s="11">
        <f t="shared" ca="1" si="0"/>
        <v>2</v>
      </c>
      <c r="R16" s="11">
        <f t="shared" si="1"/>
        <v>1</v>
      </c>
      <c r="S16" s="12" t="str">
        <f t="shared" ca="1" si="2"/>
        <v>Breached - Still Open</v>
      </c>
      <c r="T16" s="12" t="str">
        <f t="shared" ca="1" si="3"/>
        <v>No follow-up set</v>
      </c>
    </row>
    <row r="17" spans="1:20" ht="42" customHeight="1">
      <c r="A17" s="8" t="s">
        <v>152</v>
      </c>
      <c r="B17" s="9">
        <v>46303</v>
      </c>
      <c r="C17" s="8" t="s">
        <v>153</v>
      </c>
      <c r="D17" s="10" t="s">
        <v>154</v>
      </c>
      <c r="E17" s="8" t="s">
        <v>155</v>
      </c>
      <c r="F17" s="8" t="s">
        <v>72</v>
      </c>
      <c r="G17" s="10" t="s">
        <v>139</v>
      </c>
      <c r="H17" s="10" t="s">
        <v>156</v>
      </c>
      <c r="I17" s="8" t="s">
        <v>75</v>
      </c>
      <c r="J17" s="8" t="s">
        <v>121</v>
      </c>
      <c r="K17" s="8"/>
      <c r="L17" s="10"/>
      <c r="M17" s="8"/>
      <c r="N17" s="10"/>
      <c r="O17" s="9"/>
      <c r="P17" s="9"/>
      <c r="Q17" s="11">
        <f t="shared" ca="1" si="0"/>
        <v>2</v>
      </c>
      <c r="R17" s="11">
        <f t="shared" si="1"/>
        <v>3</v>
      </c>
      <c r="S17" s="12" t="str">
        <f t="shared" ca="1" si="2"/>
        <v>On Track</v>
      </c>
      <c r="T17" s="12" t="str">
        <f t="shared" ca="1" si="3"/>
        <v>No follow-up set</v>
      </c>
    </row>
    <row r="18" spans="1:20" ht="42" customHeight="1">
      <c r="A18" s="8" t="s">
        <v>157</v>
      </c>
      <c r="B18" s="9">
        <v>46304</v>
      </c>
      <c r="C18" s="8" t="s">
        <v>158</v>
      </c>
      <c r="D18" s="10" t="s">
        <v>159</v>
      </c>
      <c r="E18" s="8" t="s">
        <v>160</v>
      </c>
      <c r="F18" s="8" t="s">
        <v>60</v>
      </c>
      <c r="G18" s="10" t="s">
        <v>61</v>
      </c>
      <c r="H18" s="10" t="s">
        <v>161</v>
      </c>
      <c r="I18" s="8" t="s">
        <v>120</v>
      </c>
      <c r="J18" s="8" t="s">
        <v>121</v>
      </c>
      <c r="K18" s="8"/>
      <c r="L18" s="10"/>
      <c r="M18" s="8"/>
      <c r="N18" s="10"/>
      <c r="O18" s="9"/>
      <c r="P18" s="9"/>
      <c r="Q18" s="11">
        <f t="shared" ca="1" si="0"/>
        <v>1</v>
      </c>
      <c r="R18" s="11">
        <f t="shared" si="1"/>
        <v>5</v>
      </c>
      <c r="S18" s="12" t="str">
        <f t="shared" ca="1" si="2"/>
        <v>On Track</v>
      </c>
      <c r="T18" s="12" t="str">
        <f t="shared" ca="1" si="3"/>
        <v>No follow-up set</v>
      </c>
    </row>
    <row r="19" spans="1:20" ht="42" customHeight="1">
      <c r="A19" s="8" t="s">
        <v>162</v>
      </c>
      <c r="B19" s="9">
        <v>46304</v>
      </c>
      <c r="C19" s="8" t="s">
        <v>163</v>
      </c>
      <c r="D19" s="10" t="s">
        <v>164</v>
      </c>
      <c r="E19" s="8" t="s">
        <v>165</v>
      </c>
      <c r="F19" s="8" t="s">
        <v>133</v>
      </c>
      <c r="G19" s="10" t="s">
        <v>118</v>
      </c>
      <c r="H19" s="10" t="s">
        <v>166</v>
      </c>
      <c r="I19" s="8" t="s">
        <v>75</v>
      </c>
      <c r="J19" s="8" t="s">
        <v>121</v>
      </c>
      <c r="K19" s="8"/>
      <c r="L19" s="10"/>
      <c r="M19" s="8"/>
      <c r="N19" s="10"/>
      <c r="O19" s="9"/>
      <c r="P19" s="9"/>
      <c r="Q19" s="11">
        <f t="shared" ca="1" si="0"/>
        <v>1</v>
      </c>
      <c r="R19" s="11">
        <f t="shared" si="1"/>
        <v>3</v>
      </c>
      <c r="S19" s="12" t="str">
        <f t="shared" ca="1" si="2"/>
        <v>On Track</v>
      </c>
      <c r="T19" s="12" t="str">
        <f t="shared" ca="1" si="3"/>
        <v>No follow-up set</v>
      </c>
    </row>
    <row r="20" spans="1:20" ht="42" customHeight="1">
      <c r="A20" s="8" t="s">
        <v>167</v>
      </c>
      <c r="B20" s="9">
        <v>46304</v>
      </c>
      <c r="C20" s="8" t="s">
        <v>168</v>
      </c>
      <c r="D20" s="10" t="s">
        <v>169</v>
      </c>
      <c r="E20" s="8" t="s">
        <v>170</v>
      </c>
      <c r="F20" s="8" t="s">
        <v>60</v>
      </c>
      <c r="G20" s="10" t="s">
        <v>61</v>
      </c>
      <c r="H20" s="10" t="s">
        <v>171</v>
      </c>
      <c r="I20" s="8" t="s">
        <v>63</v>
      </c>
      <c r="J20" s="8" t="s">
        <v>121</v>
      </c>
      <c r="K20" s="8"/>
      <c r="L20" s="10"/>
      <c r="M20" s="8"/>
      <c r="N20" s="10"/>
      <c r="O20" s="9"/>
      <c r="P20" s="9"/>
      <c r="Q20" s="11">
        <f t="shared" ca="1" si="0"/>
        <v>1</v>
      </c>
      <c r="R20" s="11">
        <f t="shared" si="1"/>
        <v>2</v>
      </c>
      <c r="S20" s="12" t="str">
        <f t="shared" ca="1" si="2"/>
        <v>On Track</v>
      </c>
      <c r="T20" s="12" t="str">
        <f t="shared" ca="1" si="3"/>
        <v>No follow-up set</v>
      </c>
    </row>
    <row r="21" spans="1:20" ht="42" customHeight="1">
      <c r="A21" s="8" t="s">
        <v>172</v>
      </c>
      <c r="B21" s="9">
        <v>46305</v>
      </c>
      <c r="C21" s="8" t="s">
        <v>173</v>
      </c>
      <c r="D21" s="10" t="s">
        <v>174</v>
      </c>
      <c r="E21" s="8" t="s">
        <v>175</v>
      </c>
      <c r="F21" s="8" t="s">
        <v>60</v>
      </c>
      <c r="G21" s="10" t="s">
        <v>127</v>
      </c>
      <c r="H21" s="10" t="s">
        <v>176</v>
      </c>
      <c r="I21" s="8" t="s">
        <v>63</v>
      </c>
      <c r="J21" s="8" t="s">
        <v>121</v>
      </c>
      <c r="K21" s="8"/>
      <c r="L21" s="10"/>
      <c r="M21" s="8"/>
      <c r="N21" s="10"/>
      <c r="O21" s="9"/>
      <c r="P21" s="9"/>
      <c r="Q21" s="11">
        <f t="shared" ca="1" si="0"/>
        <v>0</v>
      </c>
      <c r="R21" s="11">
        <f t="shared" si="1"/>
        <v>2</v>
      </c>
      <c r="S21" s="12" t="str">
        <f t="shared" ca="1" si="2"/>
        <v>On Track</v>
      </c>
      <c r="T21" s="12" t="str">
        <f t="shared" ca="1" si="3"/>
        <v>No follow-up set</v>
      </c>
    </row>
    <row r="22" spans="1:20" ht="42" customHeight="1">
      <c r="A22" s="8" t="s">
        <v>177</v>
      </c>
      <c r="B22" s="9">
        <v>46305</v>
      </c>
      <c r="C22" s="8" t="s">
        <v>178</v>
      </c>
      <c r="D22" s="10" t="s">
        <v>179</v>
      </c>
      <c r="E22" s="8" t="s">
        <v>180</v>
      </c>
      <c r="F22" s="8" t="s">
        <v>60</v>
      </c>
      <c r="G22" s="10" t="s">
        <v>61</v>
      </c>
      <c r="H22" s="10" t="s">
        <v>181</v>
      </c>
      <c r="I22" s="8" t="s">
        <v>120</v>
      </c>
      <c r="J22" s="8" t="s">
        <v>121</v>
      </c>
      <c r="K22" s="8"/>
      <c r="L22" s="10"/>
      <c r="M22" s="8"/>
      <c r="N22" s="10"/>
      <c r="O22" s="9"/>
      <c r="P22" s="9"/>
      <c r="Q22" s="11">
        <f t="shared" ca="1" si="0"/>
        <v>0</v>
      </c>
      <c r="R22" s="11">
        <f t="shared" si="1"/>
        <v>5</v>
      </c>
      <c r="S22" s="12" t="str">
        <f t="shared" ca="1" si="2"/>
        <v>On Track</v>
      </c>
      <c r="T22" s="12" t="str">
        <f t="shared" ca="1" si="3"/>
        <v>No follow-up set</v>
      </c>
    </row>
    <row r="23" spans="1:20" ht="42" customHeight="1">
      <c r="A23" s="8" t="s">
        <v>182</v>
      </c>
      <c r="B23" s="9">
        <v>46305</v>
      </c>
      <c r="C23" s="8" t="s">
        <v>183</v>
      </c>
      <c r="D23" s="10" t="s">
        <v>184</v>
      </c>
      <c r="E23" s="8" t="s">
        <v>185</v>
      </c>
      <c r="F23" s="8" t="s">
        <v>133</v>
      </c>
      <c r="G23" s="10" t="s">
        <v>139</v>
      </c>
      <c r="H23" s="10" t="s">
        <v>186</v>
      </c>
      <c r="I23" s="8" t="s">
        <v>120</v>
      </c>
      <c r="J23" s="8" t="s">
        <v>121</v>
      </c>
      <c r="K23" s="8"/>
      <c r="L23" s="10"/>
      <c r="M23" s="8"/>
      <c r="N23" s="10"/>
      <c r="O23" s="9"/>
      <c r="P23" s="9"/>
      <c r="Q23" s="11">
        <f t="shared" ca="1" si="0"/>
        <v>0</v>
      </c>
      <c r="R23" s="11">
        <f t="shared" si="1"/>
        <v>5</v>
      </c>
      <c r="S23" s="12" t="str">
        <f t="shared" ca="1" si="2"/>
        <v>On Track</v>
      </c>
      <c r="T23" s="12" t="str">
        <f t="shared" ca="1" si="3"/>
        <v>No follow-up set</v>
      </c>
    </row>
    <row r="24" spans="1:20" ht="42" customHeight="1">
      <c r="A24" s="8" t="s">
        <v>187</v>
      </c>
      <c r="B24" s="9">
        <v>46305</v>
      </c>
      <c r="C24" s="8" t="s">
        <v>188</v>
      </c>
      <c r="D24" s="10" t="s">
        <v>189</v>
      </c>
      <c r="E24" s="8" t="s">
        <v>190</v>
      </c>
      <c r="F24" s="8" t="s">
        <v>60</v>
      </c>
      <c r="G24" s="10" t="s">
        <v>103</v>
      </c>
      <c r="H24" s="10" t="s">
        <v>191</v>
      </c>
      <c r="I24" s="8" t="s">
        <v>75</v>
      </c>
      <c r="J24" s="8" t="s">
        <v>121</v>
      </c>
      <c r="K24" s="8"/>
      <c r="L24" s="10"/>
      <c r="M24" s="8"/>
      <c r="N24" s="10"/>
      <c r="O24" s="9"/>
      <c r="P24" s="9"/>
      <c r="Q24" s="11">
        <f t="shared" ca="1" si="0"/>
        <v>0</v>
      </c>
      <c r="R24" s="11">
        <f t="shared" si="1"/>
        <v>3</v>
      </c>
      <c r="S24" s="12" t="str">
        <f t="shared" ca="1" si="2"/>
        <v>On Track</v>
      </c>
      <c r="T24" s="12" t="str">
        <f t="shared" ca="1" si="3"/>
        <v>No follow-up set</v>
      </c>
    </row>
    <row r="25" spans="1:20" ht="18" customHeight="1">
      <c r="A25" s="8"/>
      <c r="B25" s="9"/>
      <c r="C25" s="8"/>
      <c r="D25" s="10"/>
      <c r="E25" s="8"/>
      <c r="F25" s="8"/>
      <c r="G25" s="10"/>
      <c r="H25" s="10"/>
      <c r="I25" s="8"/>
      <c r="J25" s="8"/>
      <c r="K25" s="8"/>
      <c r="L25" s="10"/>
      <c r="M25" s="8"/>
      <c r="N25" s="10"/>
      <c r="O25" s="9"/>
      <c r="P25" s="9"/>
      <c r="Q25" s="11" t="str">
        <f t="shared" ca="1" si="0"/>
        <v/>
      </c>
      <c r="R25" s="11" t="str">
        <f t="shared" si="1"/>
        <v/>
      </c>
      <c r="S25" s="12" t="str">
        <f t="shared" ca="1" si="2"/>
        <v/>
      </c>
      <c r="T25" s="12" t="str">
        <f t="shared" ca="1" si="3"/>
        <v/>
      </c>
    </row>
    <row r="26" spans="1:20" ht="18" customHeight="1">
      <c r="A26" s="8"/>
      <c r="B26" s="9"/>
      <c r="C26" s="8"/>
      <c r="D26" s="10"/>
      <c r="E26" s="8"/>
      <c r="F26" s="8"/>
      <c r="G26" s="10"/>
      <c r="H26" s="10"/>
      <c r="I26" s="8"/>
      <c r="J26" s="8"/>
      <c r="K26" s="8"/>
      <c r="L26" s="10"/>
      <c r="M26" s="8"/>
      <c r="N26" s="10"/>
      <c r="O26" s="9"/>
      <c r="P26" s="9"/>
      <c r="Q26" s="11" t="str">
        <f t="shared" ca="1" si="0"/>
        <v/>
      </c>
      <c r="R26" s="11" t="str">
        <f t="shared" si="1"/>
        <v/>
      </c>
      <c r="S26" s="12" t="str">
        <f t="shared" ca="1" si="2"/>
        <v/>
      </c>
      <c r="T26" s="12" t="str">
        <f t="shared" ca="1" si="3"/>
        <v/>
      </c>
    </row>
    <row r="27" spans="1:20" ht="18" customHeight="1">
      <c r="A27" s="8"/>
      <c r="B27" s="9"/>
      <c r="C27" s="8"/>
      <c r="D27" s="10"/>
      <c r="E27" s="8"/>
      <c r="F27" s="8"/>
      <c r="G27" s="10"/>
      <c r="H27" s="10"/>
      <c r="I27" s="8"/>
      <c r="J27" s="8"/>
      <c r="K27" s="8"/>
      <c r="L27" s="10"/>
      <c r="M27" s="8"/>
      <c r="N27" s="10"/>
      <c r="O27" s="9"/>
      <c r="P27" s="9"/>
      <c r="Q27" s="11" t="str">
        <f t="shared" ca="1" si="0"/>
        <v/>
      </c>
      <c r="R27" s="11" t="str">
        <f t="shared" si="1"/>
        <v/>
      </c>
      <c r="S27" s="12" t="str">
        <f t="shared" ca="1" si="2"/>
        <v/>
      </c>
      <c r="T27" s="12" t="str">
        <f t="shared" ca="1" si="3"/>
        <v/>
      </c>
    </row>
    <row r="28" spans="1:20" ht="18" customHeight="1">
      <c r="A28" s="8"/>
      <c r="B28" s="9"/>
      <c r="C28" s="8"/>
      <c r="D28" s="10"/>
      <c r="E28" s="8"/>
      <c r="F28" s="8"/>
      <c r="G28" s="10"/>
      <c r="H28" s="10"/>
      <c r="I28" s="8"/>
      <c r="J28" s="8"/>
      <c r="K28" s="8"/>
      <c r="L28" s="10"/>
      <c r="M28" s="8"/>
      <c r="N28" s="10"/>
      <c r="O28" s="9"/>
      <c r="P28" s="9"/>
      <c r="Q28" s="11" t="str">
        <f t="shared" ca="1" si="0"/>
        <v/>
      </c>
      <c r="R28" s="11" t="str">
        <f t="shared" si="1"/>
        <v/>
      </c>
      <c r="S28" s="12" t="str">
        <f t="shared" ca="1" si="2"/>
        <v/>
      </c>
      <c r="T28" s="12" t="str">
        <f t="shared" ca="1" si="3"/>
        <v/>
      </c>
    </row>
    <row r="29" spans="1:20" ht="18" customHeight="1">
      <c r="A29" s="8"/>
      <c r="B29" s="9"/>
      <c r="C29" s="8"/>
      <c r="D29" s="10"/>
      <c r="E29" s="8"/>
      <c r="F29" s="8"/>
      <c r="G29" s="10"/>
      <c r="H29" s="10"/>
      <c r="I29" s="8"/>
      <c r="J29" s="8"/>
      <c r="K29" s="8"/>
      <c r="L29" s="10"/>
      <c r="M29" s="8"/>
      <c r="N29" s="10"/>
      <c r="O29" s="9"/>
      <c r="P29" s="9"/>
      <c r="Q29" s="11" t="str">
        <f t="shared" ca="1" si="0"/>
        <v/>
      </c>
      <c r="R29" s="11" t="str">
        <f t="shared" si="1"/>
        <v/>
      </c>
      <c r="S29" s="12" t="str">
        <f t="shared" ca="1" si="2"/>
        <v/>
      </c>
      <c r="T29" s="12" t="str">
        <f t="shared" ca="1" si="3"/>
        <v/>
      </c>
    </row>
    <row r="30" spans="1:20" ht="18" customHeight="1">
      <c r="A30" s="8"/>
      <c r="B30" s="9"/>
      <c r="C30" s="8"/>
      <c r="D30" s="10"/>
      <c r="E30" s="8"/>
      <c r="F30" s="8"/>
      <c r="G30" s="10"/>
      <c r="H30" s="10"/>
      <c r="I30" s="8"/>
      <c r="J30" s="8"/>
      <c r="K30" s="8"/>
      <c r="L30" s="10"/>
      <c r="M30" s="8"/>
      <c r="N30" s="10"/>
      <c r="O30" s="9"/>
      <c r="P30" s="9"/>
      <c r="Q30" s="11" t="str">
        <f t="shared" ca="1" si="0"/>
        <v/>
      </c>
      <c r="R30" s="11" t="str">
        <f t="shared" si="1"/>
        <v/>
      </c>
      <c r="S30" s="12" t="str">
        <f t="shared" ca="1" si="2"/>
        <v/>
      </c>
      <c r="T30" s="12" t="str">
        <f t="shared" ca="1" si="3"/>
        <v/>
      </c>
    </row>
    <row r="31" spans="1:20" ht="18" customHeight="1">
      <c r="A31" s="8"/>
      <c r="B31" s="9"/>
      <c r="C31" s="8"/>
      <c r="D31" s="10"/>
      <c r="E31" s="8"/>
      <c r="F31" s="8"/>
      <c r="G31" s="10"/>
      <c r="H31" s="10"/>
      <c r="I31" s="8"/>
      <c r="J31" s="8"/>
      <c r="K31" s="8"/>
      <c r="L31" s="10"/>
      <c r="M31" s="8"/>
      <c r="N31" s="10"/>
      <c r="O31" s="9"/>
      <c r="P31" s="9"/>
      <c r="Q31" s="11" t="str">
        <f t="shared" ca="1" si="0"/>
        <v/>
      </c>
      <c r="R31" s="11" t="str">
        <f t="shared" si="1"/>
        <v/>
      </c>
      <c r="S31" s="12" t="str">
        <f t="shared" ca="1" si="2"/>
        <v/>
      </c>
      <c r="T31" s="12" t="str">
        <f t="shared" ca="1" si="3"/>
        <v/>
      </c>
    </row>
    <row r="32" spans="1:20" ht="18" customHeight="1">
      <c r="A32" s="8"/>
      <c r="B32" s="9"/>
      <c r="C32" s="8"/>
      <c r="D32" s="10"/>
      <c r="E32" s="8"/>
      <c r="F32" s="8"/>
      <c r="G32" s="10"/>
      <c r="H32" s="10"/>
      <c r="I32" s="8"/>
      <c r="J32" s="8"/>
      <c r="K32" s="8"/>
      <c r="L32" s="10"/>
      <c r="M32" s="8"/>
      <c r="N32" s="10"/>
      <c r="O32" s="9"/>
      <c r="P32" s="9"/>
      <c r="Q32" s="11" t="str">
        <f t="shared" ca="1" si="0"/>
        <v/>
      </c>
      <c r="R32" s="11" t="str">
        <f t="shared" si="1"/>
        <v/>
      </c>
      <c r="S32" s="12" t="str">
        <f t="shared" ca="1" si="2"/>
        <v/>
      </c>
      <c r="T32" s="12" t="str">
        <f t="shared" ca="1" si="3"/>
        <v/>
      </c>
    </row>
    <row r="33" spans="1:20" ht="18" customHeight="1">
      <c r="A33" s="8"/>
      <c r="B33" s="9"/>
      <c r="C33" s="8"/>
      <c r="D33" s="10"/>
      <c r="E33" s="8"/>
      <c r="F33" s="8"/>
      <c r="G33" s="10"/>
      <c r="H33" s="10"/>
      <c r="I33" s="8"/>
      <c r="J33" s="8"/>
      <c r="K33" s="8"/>
      <c r="L33" s="10"/>
      <c r="M33" s="8"/>
      <c r="N33" s="10"/>
      <c r="O33" s="9"/>
      <c r="P33" s="9"/>
      <c r="Q33" s="11" t="str">
        <f t="shared" ca="1" si="0"/>
        <v/>
      </c>
      <c r="R33" s="11" t="str">
        <f t="shared" si="1"/>
        <v/>
      </c>
      <c r="S33" s="12" t="str">
        <f t="shared" ca="1" si="2"/>
        <v/>
      </c>
      <c r="T33" s="12" t="str">
        <f t="shared" ca="1" si="3"/>
        <v/>
      </c>
    </row>
    <row r="34" spans="1:20" ht="18" customHeight="1">
      <c r="A34" s="8"/>
      <c r="B34" s="9"/>
      <c r="C34" s="8"/>
      <c r="D34" s="10"/>
      <c r="E34" s="8"/>
      <c r="F34" s="8"/>
      <c r="G34" s="10"/>
      <c r="H34" s="10"/>
      <c r="I34" s="8"/>
      <c r="J34" s="8"/>
      <c r="K34" s="8"/>
      <c r="L34" s="10"/>
      <c r="M34" s="8"/>
      <c r="N34" s="10"/>
      <c r="O34" s="9"/>
      <c r="P34" s="9"/>
      <c r="Q34" s="11" t="str">
        <f t="shared" ca="1" si="0"/>
        <v/>
      </c>
      <c r="R34" s="11" t="str">
        <f t="shared" si="1"/>
        <v/>
      </c>
      <c r="S34" s="12" t="str">
        <f t="shared" ca="1" si="2"/>
        <v/>
      </c>
      <c r="T34" s="12" t="str">
        <f t="shared" ca="1" si="3"/>
        <v/>
      </c>
    </row>
    <row r="35" spans="1:20" ht="18" customHeight="1">
      <c r="A35" s="8"/>
      <c r="B35" s="9"/>
      <c r="C35" s="8"/>
      <c r="D35" s="10"/>
      <c r="E35" s="8"/>
      <c r="F35" s="8"/>
      <c r="G35" s="10"/>
      <c r="H35" s="10"/>
      <c r="I35" s="8"/>
      <c r="J35" s="8"/>
      <c r="K35" s="8"/>
      <c r="L35" s="10"/>
      <c r="M35" s="8"/>
      <c r="N35" s="10"/>
      <c r="O35" s="9"/>
      <c r="P35" s="9"/>
      <c r="Q35" s="11" t="str">
        <f t="shared" ca="1" si="0"/>
        <v/>
      </c>
      <c r="R35" s="11" t="str">
        <f t="shared" si="1"/>
        <v/>
      </c>
      <c r="S35" s="12" t="str">
        <f t="shared" ca="1" si="2"/>
        <v/>
      </c>
      <c r="T35" s="12" t="str">
        <f t="shared" ca="1" si="3"/>
        <v/>
      </c>
    </row>
    <row r="36" spans="1:20" ht="18" customHeight="1">
      <c r="A36" s="8"/>
      <c r="B36" s="9"/>
      <c r="C36" s="8"/>
      <c r="D36" s="10"/>
      <c r="E36" s="8"/>
      <c r="F36" s="8"/>
      <c r="G36" s="10"/>
      <c r="H36" s="10"/>
      <c r="I36" s="8"/>
      <c r="J36" s="8"/>
      <c r="K36" s="8"/>
      <c r="L36" s="10"/>
      <c r="M36" s="8"/>
      <c r="N36" s="10"/>
      <c r="O36" s="9"/>
      <c r="P36" s="9"/>
      <c r="Q36" s="11" t="str">
        <f t="shared" ca="1" si="0"/>
        <v/>
      </c>
      <c r="R36" s="11" t="str">
        <f t="shared" si="1"/>
        <v/>
      </c>
      <c r="S36" s="12" t="str">
        <f t="shared" ca="1" si="2"/>
        <v/>
      </c>
      <c r="T36" s="12" t="str">
        <f t="shared" ca="1" si="3"/>
        <v/>
      </c>
    </row>
    <row r="37" spans="1:20" ht="18" customHeight="1">
      <c r="A37" s="8"/>
      <c r="B37" s="9"/>
      <c r="C37" s="8"/>
      <c r="D37" s="10"/>
      <c r="E37" s="8"/>
      <c r="F37" s="8"/>
      <c r="G37" s="10"/>
      <c r="H37" s="10"/>
      <c r="I37" s="8"/>
      <c r="J37" s="8"/>
      <c r="K37" s="8"/>
      <c r="L37" s="10"/>
      <c r="M37" s="8"/>
      <c r="N37" s="10"/>
      <c r="O37" s="9"/>
      <c r="P37" s="9"/>
      <c r="Q37" s="11" t="str">
        <f t="shared" ref="Q37:Q68" ca="1" si="4">IF(B37="","",IF(P37&lt;&gt;"",P37-B37,TODAY()-B37))</f>
        <v/>
      </c>
      <c r="R37" s="11" t="str">
        <f t="shared" ref="R37:R68" si="5">IF(I37="","",INDEX(SLA_Days,MATCH(I37,Priority_List,0)))</f>
        <v/>
      </c>
      <c r="S37" s="12" t="str">
        <f t="shared" ref="S37:S68" ca="1" si="6">IF(OR(Q37="",R37=""),"",IF(P37&lt;&gt;"",IF(Q37&lt;=R37,"Met","Breached"),IF(Q37&gt;R37,"Breached - Still Open","On Track")))</f>
        <v/>
      </c>
      <c r="T37" s="12" t="str">
        <f t="shared" ref="T37:T68" ca="1" si="7">IF(C37="","",IF(OR(J37="Resolved",J37="Closed"),"Done",IF(O37="","No follow-up set",IF(O37&lt;TODAY(),"OVERDUE",IF(O37=TODAY(),"Due Today","Upcoming")))))</f>
        <v/>
      </c>
    </row>
    <row r="38" spans="1:20" ht="18" customHeight="1">
      <c r="A38" s="8"/>
      <c r="B38" s="9"/>
      <c r="C38" s="8"/>
      <c r="D38" s="10"/>
      <c r="E38" s="8"/>
      <c r="F38" s="8"/>
      <c r="G38" s="10"/>
      <c r="H38" s="10"/>
      <c r="I38" s="8"/>
      <c r="J38" s="8"/>
      <c r="K38" s="8"/>
      <c r="L38" s="10"/>
      <c r="M38" s="8"/>
      <c r="N38" s="10"/>
      <c r="O38" s="9"/>
      <c r="P38" s="9"/>
      <c r="Q38" s="11" t="str">
        <f t="shared" ca="1" si="4"/>
        <v/>
      </c>
      <c r="R38" s="11" t="str">
        <f t="shared" si="5"/>
        <v/>
      </c>
      <c r="S38" s="12" t="str">
        <f t="shared" ca="1" si="6"/>
        <v/>
      </c>
      <c r="T38" s="12" t="str">
        <f t="shared" ca="1" si="7"/>
        <v/>
      </c>
    </row>
    <row r="39" spans="1:20" ht="18" customHeight="1">
      <c r="A39" s="8"/>
      <c r="B39" s="9"/>
      <c r="C39" s="8"/>
      <c r="D39" s="10"/>
      <c r="E39" s="8"/>
      <c r="F39" s="8"/>
      <c r="G39" s="10"/>
      <c r="H39" s="10"/>
      <c r="I39" s="8"/>
      <c r="J39" s="8"/>
      <c r="K39" s="8"/>
      <c r="L39" s="10"/>
      <c r="M39" s="8"/>
      <c r="N39" s="10"/>
      <c r="O39" s="9"/>
      <c r="P39" s="9"/>
      <c r="Q39" s="11" t="str">
        <f t="shared" ca="1" si="4"/>
        <v/>
      </c>
      <c r="R39" s="11" t="str">
        <f t="shared" si="5"/>
        <v/>
      </c>
      <c r="S39" s="12" t="str">
        <f t="shared" ca="1" si="6"/>
        <v/>
      </c>
      <c r="T39" s="12" t="str">
        <f t="shared" ca="1" si="7"/>
        <v/>
      </c>
    </row>
    <row r="40" spans="1:20" ht="18" customHeight="1">
      <c r="A40" s="8"/>
      <c r="B40" s="9"/>
      <c r="C40" s="8"/>
      <c r="D40" s="10"/>
      <c r="E40" s="8"/>
      <c r="F40" s="8"/>
      <c r="G40" s="10"/>
      <c r="H40" s="10"/>
      <c r="I40" s="8"/>
      <c r="J40" s="8"/>
      <c r="K40" s="8"/>
      <c r="L40" s="10"/>
      <c r="M40" s="8"/>
      <c r="N40" s="10"/>
      <c r="O40" s="9"/>
      <c r="P40" s="9"/>
      <c r="Q40" s="11" t="str">
        <f t="shared" ca="1" si="4"/>
        <v/>
      </c>
      <c r="R40" s="11" t="str">
        <f t="shared" si="5"/>
        <v/>
      </c>
      <c r="S40" s="12" t="str">
        <f t="shared" ca="1" si="6"/>
        <v/>
      </c>
      <c r="T40" s="12" t="str">
        <f t="shared" ca="1" si="7"/>
        <v/>
      </c>
    </row>
    <row r="41" spans="1:20" ht="18" customHeight="1">
      <c r="A41" s="8"/>
      <c r="B41" s="9"/>
      <c r="C41" s="8"/>
      <c r="D41" s="10"/>
      <c r="E41" s="8"/>
      <c r="F41" s="8"/>
      <c r="G41" s="10"/>
      <c r="H41" s="10"/>
      <c r="I41" s="8"/>
      <c r="J41" s="8"/>
      <c r="K41" s="8"/>
      <c r="L41" s="10"/>
      <c r="M41" s="8"/>
      <c r="N41" s="10"/>
      <c r="O41" s="9"/>
      <c r="P41" s="9"/>
      <c r="Q41" s="11" t="str">
        <f t="shared" ca="1" si="4"/>
        <v/>
      </c>
      <c r="R41" s="11" t="str">
        <f t="shared" si="5"/>
        <v/>
      </c>
      <c r="S41" s="12" t="str">
        <f t="shared" ca="1" si="6"/>
        <v/>
      </c>
      <c r="T41" s="12" t="str">
        <f t="shared" ca="1" si="7"/>
        <v/>
      </c>
    </row>
    <row r="42" spans="1:20" ht="18" customHeight="1">
      <c r="A42" s="8"/>
      <c r="B42" s="9"/>
      <c r="C42" s="8"/>
      <c r="D42" s="10"/>
      <c r="E42" s="8"/>
      <c r="F42" s="8"/>
      <c r="G42" s="10"/>
      <c r="H42" s="10"/>
      <c r="I42" s="8"/>
      <c r="J42" s="8"/>
      <c r="K42" s="8"/>
      <c r="L42" s="10"/>
      <c r="M42" s="8"/>
      <c r="N42" s="10"/>
      <c r="O42" s="9"/>
      <c r="P42" s="9"/>
      <c r="Q42" s="11" t="str">
        <f t="shared" ca="1" si="4"/>
        <v/>
      </c>
      <c r="R42" s="11" t="str">
        <f t="shared" si="5"/>
        <v/>
      </c>
      <c r="S42" s="12" t="str">
        <f t="shared" ca="1" si="6"/>
        <v/>
      </c>
      <c r="T42" s="12" t="str">
        <f t="shared" ca="1" si="7"/>
        <v/>
      </c>
    </row>
    <row r="43" spans="1:20" ht="18" customHeight="1">
      <c r="A43" s="8"/>
      <c r="B43" s="9"/>
      <c r="C43" s="8"/>
      <c r="D43" s="10"/>
      <c r="E43" s="8"/>
      <c r="F43" s="8"/>
      <c r="G43" s="10"/>
      <c r="H43" s="10"/>
      <c r="I43" s="8"/>
      <c r="J43" s="8"/>
      <c r="K43" s="8"/>
      <c r="L43" s="10"/>
      <c r="M43" s="8"/>
      <c r="N43" s="10"/>
      <c r="O43" s="9"/>
      <c r="P43" s="9"/>
      <c r="Q43" s="11" t="str">
        <f t="shared" ca="1" si="4"/>
        <v/>
      </c>
      <c r="R43" s="11" t="str">
        <f t="shared" si="5"/>
        <v/>
      </c>
      <c r="S43" s="12" t="str">
        <f t="shared" ca="1" si="6"/>
        <v/>
      </c>
      <c r="T43" s="12" t="str">
        <f t="shared" ca="1" si="7"/>
        <v/>
      </c>
    </row>
    <row r="44" spans="1:20" ht="18" customHeight="1">
      <c r="A44" s="8"/>
      <c r="B44" s="9"/>
      <c r="C44" s="8"/>
      <c r="D44" s="10"/>
      <c r="E44" s="8"/>
      <c r="F44" s="8"/>
      <c r="G44" s="10"/>
      <c r="H44" s="10"/>
      <c r="I44" s="8"/>
      <c r="J44" s="8"/>
      <c r="K44" s="8"/>
      <c r="L44" s="10"/>
      <c r="M44" s="8"/>
      <c r="N44" s="10"/>
      <c r="O44" s="9"/>
      <c r="P44" s="9"/>
      <c r="Q44" s="11" t="str">
        <f t="shared" ca="1" si="4"/>
        <v/>
      </c>
      <c r="R44" s="11" t="str">
        <f t="shared" si="5"/>
        <v/>
      </c>
      <c r="S44" s="12" t="str">
        <f t="shared" ca="1" si="6"/>
        <v/>
      </c>
      <c r="T44" s="12" t="str">
        <f t="shared" ca="1" si="7"/>
        <v/>
      </c>
    </row>
    <row r="45" spans="1:20" ht="18" customHeight="1">
      <c r="A45" s="8"/>
      <c r="B45" s="9"/>
      <c r="C45" s="8"/>
      <c r="D45" s="10"/>
      <c r="E45" s="8"/>
      <c r="F45" s="8"/>
      <c r="G45" s="10"/>
      <c r="H45" s="10"/>
      <c r="I45" s="8"/>
      <c r="J45" s="8"/>
      <c r="K45" s="8"/>
      <c r="L45" s="10"/>
      <c r="M45" s="8"/>
      <c r="N45" s="10"/>
      <c r="O45" s="9"/>
      <c r="P45" s="9"/>
      <c r="Q45" s="11" t="str">
        <f t="shared" ca="1" si="4"/>
        <v/>
      </c>
      <c r="R45" s="11" t="str">
        <f t="shared" si="5"/>
        <v/>
      </c>
      <c r="S45" s="12" t="str">
        <f t="shared" ca="1" si="6"/>
        <v/>
      </c>
      <c r="T45" s="12" t="str">
        <f t="shared" ca="1" si="7"/>
        <v/>
      </c>
    </row>
    <row r="46" spans="1:20" ht="18" customHeight="1">
      <c r="A46" s="8"/>
      <c r="B46" s="9"/>
      <c r="C46" s="8"/>
      <c r="D46" s="10"/>
      <c r="E46" s="8"/>
      <c r="F46" s="8"/>
      <c r="G46" s="10"/>
      <c r="H46" s="10"/>
      <c r="I46" s="8"/>
      <c r="J46" s="8"/>
      <c r="K46" s="8"/>
      <c r="L46" s="10"/>
      <c r="M46" s="8"/>
      <c r="N46" s="10"/>
      <c r="O46" s="9"/>
      <c r="P46" s="9"/>
      <c r="Q46" s="11" t="str">
        <f t="shared" ca="1" si="4"/>
        <v/>
      </c>
      <c r="R46" s="11" t="str">
        <f t="shared" si="5"/>
        <v/>
      </c>
      <c r="S46" s="12" t="str">
        <f t="shared" ca="1" si="6"/>
        <v/>
      </c>
      <c r="T46" s="12" t="str">
        <f t="shared" ca="1" si="7"/>
        <v/>
      </c>
    </row>
    <row r="47" spans="1:20" ht="18" customHeight="1">
      <c r="A47" s="8"/>
      <c r="B47" s="9"/>
      <c r="C47" s="8"/>
      <c r="D47" s="10"/>
      <c r="E47" s="8"/>
      <c r="F47" s="8"/>
      <c r="G47" s="10"/>
      <c r="H47" s="10"/>
      <c r="I47" s="8"/>
      <c r="J47" s="8"/>
      <c r="K47" s="8"/>
      <c r="L47" s="10"/>
      <c r="M47" s="8"/>
      <c r="N47" s="10"/>
      <c r="O47" s="9"/>
      <c r="P47" s="9"/>
      <c r="Q47" s="11" t="str">
        <f t="shared" ca="1" si="4"/>
        <v/>
      </c>
      <c r="R47" s="11" t="str">
        <f t="shared" si="5"/>
        <v/>
      </c>
      <c r="S47" s="12" t="str">
        <f t="shared" ca="1" si="6"/>
        <v/>
      </c>
      <c r="T47" s="12" t="str">
        <f t="shared" ca="1" si="7"/>
        <v/>
      </c>
    </row>
    <row r="48" spans="1:20" ht="18" customHeight="1">
      <c r="A48" s="8"/>
      <c r="B48" s="9"/>
      <c r="C48" s="8"/>
      <c r="D48" s="10"/>
      <c r="E48" s="8"/>
      <c r="F48" s="8"/>
      <c r="G48" s="10"/>
      <c r="H48" s="10"/>
      <c r="I48" s="8"/>
      <c r="J48" s="8"/>
      <c r="K48" s="8"/>
      <c r="L48" s="10"/>
      <c r="M48" s="8"/>
      <c r="N48" s="10"/>
      <c r="O48" s="9"/>
      <c r="P48" s="9"/>
      <c r="Q48" s="11" t="str">
        <f t="shared" ca="1" si="4"/>
        <v/>
      </c>
      <c r="R48" s="11" t="str">
        <f t="shared" si="5"/>
        <v/>
      </c>
      <c r="S48" s="12" t="str">
        <f t="shared" ca="1" si="6"/>
        <v/>
      </c>
      <c r="T48" s="12" t="str">
        <f t="shared" ca="1" si="7"/>
        <v/>
      </c>
    </row>
    <row r="49" spans="1:20" ht="18" customHeight="1">
      <c r="A49" s="8"/>
      <c r="B49" s="9"/>
      <c r="C49" s="8"/>
      <c r="D49" s="10"/>
      <c r="E49" s="8"/>
      <c r="F49" s="8"/>
      <c r="G49" s="10"/>
      <c r="H49" s="10"/>
      <c r="I49" s="8"/>
      <c r="J49" s="8"/>
      <c r="K49" s="8"/>
      <c r="L49" s="10"/>
      <c r="M49" s="8"/>
      <c r="N49" s="10"/>
      <c r="O49" s="9"/>
      <c r="P49" s="9"/>
      <c r="Q49" s="11" t="str">
        <f t="shared" ca="1" si="4"/>
        <v/>
      </c>
      <c r="R49" s="11" t="str">
        <f t="shared" si="5"/>
        <v/>
      </c>
      <c r="S49" s="12" t="str">
        <f t="shared" ca="1" si="6"/>
        <v/>
      </c>
      <c r="T49" s="12" t="str">
        <f t="shared" ca="1" si="7"/>
        <v/>
      </c>
    </row>
    <row r="50" spans="1:20" ht="18" customHeight="1">
      <c r="A50" s="8"/>
      <c r="B50" s="9"/>
      <c r="C50" s="8"/>
      <c r="D50" s="10"/>
      <c r="E50" s="8"/>
      <c r="F50" s="8"/>
      <c r="G50" s="10"/>
      <c r="H50" s="10"/>
      <c r="I50" s="8"/>
      <c r="J50" s="8"/>
      <c r="K50" s="8"/>
      <c r="L50" s="10"/>
      <c r="M50" s="8"/>
      <c r="N50" s="10"/>
      <c r="O50" s="9"/>
      <c r="P50" s="9"/>
      <c r="Q50" s="11" t="str">
        <f t="shared" ca="1" si="4"/>
        <v/>
      </c>
      <c r="R50" s="11" t="str">
        <f t="shared" si="5"/>
        <v/>
      </c>
      <c r="S50" s="12" t="str">
        <f t="shared" ca="1" si="6"/>
        <v/>
      </c>
      <c r="T50" s="12" t="str">
        <f t="shared" ca="1" si="7"/>
        <v/>
      </c>
    </row>
    <row r="51" spans="1:20" ht="18" customHeight="1">
      <c r="A51" s="8"/>
      <c r="B51" s="9"/>
      <c r="C51" s="8"/>
      <c r="D51" s="10"/>
      <c r="E51" s="8"/>
      <c r="F51" s="8"/>
      <c r="G51" s="10"/>
      <c r="H51" s="10"/>
      <c r="I51" s="8"/>
      <c r="J51" s="8"/>
      <c r="K51" s="8"/>
      <c r="L51" s="10"/>
      <c r="M51" s="8"/>
      <c r="N51" s="10"/>
      <c r="O51" s="9"/>
      <c r="P51" s="9"/>
      <c r="Q51" s="11" t="str">
        <f t="shared" ca="1" si="4"/>
        <v/>
      </c>
      <c r="R51" s="11" t="str">
        <f t="shared" si="5"/>
        <v/>
      </c>
      <c r="S51" s="12" t="str">
        <f t="shared" ca="1" si="6"/>
        <v/>
      </c>
      <c r="T51" s="12" t="str">
        <f t="shared" ca="1" si="7"/>
        <v/>
      </c>
    </row>
    <row r="52" spans="1:20" ht="18" customHeight="1">
      <c r="A52" s="8"/>
      <c r="B52" s="9"/>
      <c r="C52" s="8"/>
      <c r="D52" s="10"/>
      <c r="E52" s="8"/>
      <c r="F52" s="8"/>
      <c r="G52" s="10"/>
      <c r="H52" s="10"/>
      <c r="I52" s="8"/>
      <c r="J52" s="8"/>
      <c r="K52" s="8"/>
      <c r="L52" s="10"/>
      <c r="M52" s="8"/>
      <c r="N52" s="10"/>
      <c r="O52" s="9"/>
      <c r="P52" s="9"/>
      <c r="Q52" s="11" t="str">
        <f t="shared" ca="1" si="4"/>
        <v/>
      </c>
      <c r="R52" s="11" t="str">
        <f t="shared" si="5"/>
        <v/>
      </c>
      <c r="S52" s="12" t="str">
        <f t="shared" ca="1" si="6"/>
        <v/>
      </c>
      <c r="T52" s="12" t="str">
        <f t="shared" ca="1" si="7"/>
        <v/>
      </c>
    </row>
    <row r="53" spans="1:20" ht="18" customHeight="1">
      <c r="A53" s="8"/>
      <c r="B53" s="9"/>
      <c r="C53" s="8"/>
      <c r="D53" s="10"/>
      <c r="E53" s="8"/>
      <c r="F53" s="8"/>
      <c r="G53" s="10"/>
      <c r="H53" s="10"/>
      <c r="I53" s="8"/>
      <c r="J53" s="8"/>
      <c r="K53" s="8"/>
      <c r="L53" s="10"/>
      <c r="M53" s="8"/>
      <c r="N53" s="10"/>
      <c r="O53" s="9"/>
      <c r="P53" s="9"/>
      <c r="Q53" s="11" t="str">
        <f t="shared" ca="1" si="4"/>
        <v/>
      </c>
      <c r="R53" s="11" t="str">
        <f t="shared" si="5"/>
        <v/>
      </c>
      <c r="S53" s="12" t="str">
        <f t="shared" ca="1" si="6"/>
        <v/>
      </c>
      <c r="T53" s="12" t="str">
        <f t="shared" ca="1" si="7"/>
        <v/>
      </c>
    </row>
    <row r="54" spans="1:20" ht="18" customHeight="1">
      <c r="A54" s="8"/>
      <c r="B54" s="9"/>
      <c r="C54" s="8"/>
      <c r="D54" s="10"/>
      <c r="E54" s="8"/>
      <c r="F54" s="8"/>
      <c r="G54" s="10"/>
      <c r="H54" s="10"/>
      <c r="I54" s="8"/>
      <c r="J54" s="8"/>
      <c r="K54" s="8"/>
      <c r="L54" s="10"/>
      <c r="M54" s="8"/>
      <c r="N54" s="10"/>
      <c r="O54" s="9"/>
      <c r="P54" s="9"/>
      <c r="Q54" s="11" t="str">
        <f t="shared" ca="1" si="4"/>
        <v/>
      </c>
      <c r="R54" s="11" t="str">
        <f t="shared" si="5"/>
        <v/>
      </c>
      <c r="S54" s="12" t="str">
        <f t="shared" ca="1" si="6"/>
        <v/>
      </c>
      <c r="T54" s="12" t="str">
        <f t="shared" ca="1" si="7"/>
        <v/>
      </c>
    </row>
    <row r="55" spans="1:20" ht="18" customHeight="1">
      <c r="A55" s="8"/>
      <c r="B55" s="9"/>
      <c r="C55" s="8"/>
      <c r="D55" s="10"/>
      <c r="E55" s="8"/>
      <c r="F55" s="8"/>
      <c r="G55" s="10"/>
      <c r="H55" s="10"/>
      <c r="I55" s="8"/>
      <c r="J55" s="8"/>
      <c r="K55" s="8"/>
      <c r="L55" s="10"/>
      <c r="M55" s="8"/>
      <c r="N55" s="10"/>
      <c r="O55" s="9"/>
      <c r="P55" s="9"/>
      <c r="Q55" s="11" t="str">
        <f t="shared" ca="1" si="4"/>
        <v/>
      </c>
      <c r="R55" s="11" t="str">
        <f t="shared" si="5"/>
        <v/>
      </c>
      <c r="S55" s="12" t="str">
        <f t="shared" ca="1" si="6"/>
        <v/>
      </c>
      <c r="T55" s="12" t="str">
        <f t="shared" ca="1" si="7"/>
        <v/>
      </c>
    </row>
    <row r="56" spans="1:20" ht="18" customHeight="1">
      <c r="A56" s="8"/>
      <c r="B56" s="9"/>
      <c r="C56" s="8"/>
      <c r="D56" s="10"/>
      <c r="E56" s="8"/>
      <c r="F56" s="8"/>
      <c r="G56" s="10"/>
      <c r="H56" s="10"/>
      <c r="I56" s="8"/>
      <c r="J56" s="8"/>
      <c r="K56" s="8"/>
      <c r="L56" s="10"/>
      <c r="M56" s="8"/>
      <c r="N56" s="10"/>
      <c r="O56" s="9"/>
      <c r="P56" s="9"/>
      <c r="Q56" s="11" t="str">
        <f t="shared" ca="1" si="4"/>
        <v/>
      </c>
      <c r="R56" s="11" t="str">
        <f t="shared" si="5"/>
        <v/>
      </c>
      <c r="S56" s="12" t="str">
        <f t="shared" ca="1" si="6"/>
        <v/>
      </c>
      <c r="T56" s="12" t="str">
        <f t="shared" ca="1" si="7"/>
        <v/>
      </c>
    </row>
    <row r="57" spans="1:20" ht="18" customHeight="1">
      <c r="A57" s="8"/>
      <c r="B57" s="9"/>
      <c r="C57" s="8"/>
      <c r="D57" s="10"/>
      <c r="E57" s="8"/>
      <c r="F57" s="8"/>
      <c r="G57" s="10"/>
      <c r="H57" s="10"/>
      <c r="I57" s="8"/>
      <c r="J57" s="8"/>
      <c r="K57" s="8"/>
      <c r="L57" s="10"/>
      <c r="M57" s="8"/>
      <c r="N57" s="10"/>
      <c r="O57" s="9"/>
      <c r="P57" s="9"/>
      <c r="Q57" s="11" t="str">
        <f t="shared" ca="1" si="4"/>
        <v/>
      </c>
      <c r="R57" s="11" t="str">
        <f t="shared" si="5"/>
        <v/>
      </c>
      <c r="S57" s="12" t="str">
        <f t="shared" ca="1" si="6"/>
        <v/>
      </c>
      <c r="T57" s="12" t="str">
        <f t="shared" ca="1" si="7"/>
        <v/>
      </c>
    </row>
    <row r="58" spans="1:20" ht="18" customHeight="1">
      <c r="A58" s="8"/>
      <c r="B58" s="9"/>
      <c r="C58" s="8"/>
      <c r="D58" s="10"/>
      <c r="E58" s="8"/>
      <c r="F58" s="8"/>
      <c r="G58" s="10"/>
      <c r="H58" s="10"/>
      <c r="I58" s="8"/>
      <c r="J58" s="8"/>
      <c r="K58" s="8"/>
      <c r="L58" s="10"/>
      <c r="M58" s="8"/>
      <c r="N58" s="10"/>
      <c r="O58" s="9"/>
      <c r="P58" s="9"/>
      <c r="Q58" s="11" t="str">
        <f t="shared" ca="1" si="4"/>
        <v/>
      </c>
      <c r="R58" s="11" t="str">
        <f t="shared" si="5"/>
        <v/>
      </c>
      <c r="S58" s="12" t="str">
        <f t="shared" ca="1" si="6"/>
        <v/>
      </c>
      <c r="T58" s="12" t="str">
        <f t="shared" ca="1" si="7"/>
        <v/>
      </c>
    </row>
    <row r="59" spans="1:20" ht="18" customHeight="1">
      <c r="A59" s="8"/>
      <c r="B59" s="9"/>
      <c r="C59" s="8"/>
      <c r="D59" s="10"/>
      <c r="E59" s="8"/>
      <c r="F59" s="8"/>
      <c r="G59" s="10"/>
      <c r="H59" s="10"/>
      <c r="I59" s="8"/>
      <c r="J59" s="8"/>
      <c r="K59" s="8"/>
      <c r="L59" s="10"/>
      <c r="M59" s="8"/>
      <c r="N59" s="10"/>
      <c r="O59" s="9"/>
      <c r="P59" s="9"/>
      <c r="Q59" s="11" t="str">
        <f t="shared" ca="1" si="4"/>
        <v/>
      </c>
      <c r="R59" s="11" t="str">
        <f t="shared" si="5"/>
        <v/>
      </c>
      <c r="S59" s="12" t="str">
        <f t="shared" ca="1" si="6"/>
        <v/>
      </c>
      <c r="T59" s="12" t="str">
        <f t="shared" ca="1" si="7"/>
        <v/>
      </c>
    </row>
    <row r="60" spans="1:20" ht="18" customHeight="1">
      <c r="A60" s="8"/>
      <c r="B60" s="9"/>
      <c r="C60" s="8"/>
      <c r="D60" s="10"/>
      <c r="E60" s="8"/>
      <c r="F60" s="8"/>
      <c r="G60" s="10"/>
      <c r="H60" s="10"/>
      <c r="I60" s="8"/>
      <c r="J60" s="8"/>
      <c r="K60" s="8"/>
      <c r="L60" s="10"/>
      <c r="M60" s="8"/>
      <c r="N60" s="10"/>
      <c r="O60" s="9"/>
      <c r="P60" s="9"/>
      <c r="Q60" s="11" t="str">
        <f t="shared" ca="1" si="4"/>
        <v/>
      </c>
      <c r="R60" s="11" t="str">
        <f t="shared" si="5"/>
        <v/>
      </c>
      <c r="S60" s="12" t="str">
        <f t="shared" ca="1" si="6"/>
        <v/>
      </c>
      <c r="T60" s="12" t="str">
        <f t="shared" ca="1" si="7"/>
        <v/>
      </c>
    </row>
    <row r="61" spans="1:20" ht="18" customHeight="1">
      <c r="A61" s="8"/>
      <c r="B61" s="9"/>
      <c r="C61" s="8"/>
      <c r="D61" s="10"/>
      <c r="E61" s="8"/>
      <c r="F61" s="8"/>
      <c r="G61" s="10"/>
      <c r="H61" s="10"/>
      <c r="I61" s="8"/>
      <c r="J61" s="8"/>
      <c r="K61" s="8"/>
      <c r="L61" s="10"/>
      <c r="M61" s="8"/>
      <c r="N61" s="10"/>
      <c r="O61" s="9"/>
      <c r="P61" s="9"/>
      <c r="Q61" s="11" t="str">
        <f t="shared" ca="1" si="4"/>
        <v/>
      </c>
      <c r="R61" s="11" t="str">
        <f t="shared" si="5"/>
        <v/>
      </c>
      <c r="S61" s="12" t="str">
        <f t="shared" ca="1" si="6"/>
        <v/>
      </c>
      <c r="T61" s="12" t="str">
        <f t="shared" ca="1" si="7"/>
        <v/>
      </c>
    </row>
    <row r="62" spans="1:20" ht="18" customHeight="1">
      <c r="A62" s="8"/>
      <c r="B62" s="9"/>
      <c r="C62" s="8"/>
      <c r="D62" s="10"/>
      <c r="E62" s="8"/>
      <c r="F62" s="8"/>
      <c r="G62" s="10"/>
      <c r="H62" s="10"/>
      <c r="I62" s="8"/>
      <c r="J62" s="8"/>
      <c r="K62" s="8"/>
      <c r="L62" s="10"/>
      <c r="M62" s="8"/>
      <c r="N62" s="10"/>
      <c r="O62" s="9"/>
      <c r="P62" s="9"/>
      <c r="Q62" s="11" t="str">
        <f t="shared" ca="1" si="4"/>
        <v/>
      </c>
      <c r="R62" s="11" t="str">
        <f t="shared" si="5"/>
        <v/>
      </c>
      <c r="S62" s="12" t="str">
        <f t="shared" ca="1" si="6"/>
        <v/>
      </c>
      <c r="T62" s="12" t="str">
        <f t="shared" ca="1" si="7"/>
        <v/>
      </c>
    </row>
    <row r="63" spans="1:20" ht="18" customHeight="1">
      <c r="A63" s="8"/>
      <c r="B63" s="9"/>
      <c r="C63" s="8"/>
      <c r="D63" s="10"/>
      <c r="E63" s="8"/>
      <c r="F63" s="8"/>
      <c r="G63" s="10"/>
      <c r="H63" s="10"/>
      <c r="I63" s="8"/>
      <c r="J63" s="8"/>
      <c r="K63" s="8"/>
      <c r="L63" s="10"/>
      <c r="M63" s="8"/>
      <c r="N63" s="10"/>
      <c r="O63" s="9"/>
      <c r="P63" s="9"/>
      <c r="Q63" s="11" t="str">
        <f t="shared" ca="1" si="4"/>
        <v/>
      </c>
      <c r="R63" s="11" t="str">
        <f t="shared" si="5"/>
        <v/>
      </c>
      <c r="S63" s="12" t="str">
        <f t="shared" ca="1" si="6"/>
        <v/>
      </c>
      <c r="T63" s="12" t="str">
        <f t="shared" ca="1" si="7"/>
        <v/>
      </c>
    </row>
    <row r="64" spans="1:20" ht="18" customHeight="1">
      <c r="A64" s="8"/>
      <c r="B64" s="9"/>
      <c r="C64" s="8"/>
      <c r="D64" s="10"/>
      <c r="E64" s="8"/>
      <c r="F64" s="8"/>
      <c r="G64" s="10"/>
      <c r="H64" s="10"/>
      <c r="I64" s="8"/>
      <c r="J64" s="8"/>
      <c r="K64" s="8"/>
      <c r="L64" s="10"/>
      <c r="M64" s="8"/>
      <c r="N64" s="10"/>
      <c r="O64" s="9"/>
      <c r="P64" s="9"/>
      <c r="Q64" s="11" t="str">
        <f t="shared" ca="1" si="4"/>
        <v/>
      </c>
      <c r="R64" s="11" t="str">
        <f t="shared" si="5"/>
        <v/>
      </c>
      <c r="S64" s="12" t="str">
        <f t="shared" ca="1" si="6"/>
        <v/>
      </c>
      <c r="T64" s="12" t="str">
        <f t="shared" ca="1" si="7"/>
        <v/>
      </c>
    </row>
    <row r="65" spans="1:20" ht="18" customHeight="1">
      <c r="A65" s="8"/>
      <c r="B65" s="9"/>
      <c r="C65" s="8"/>
      <c r="D65" s="10"/>
      <c r="E65" s="8"/>
      <c r="F65" s="8"/>
      <c r="G65" s="10"/>
      <c r="H65" s="10"/>
      <c r="I65" s="8"/>
      <c r="J65" s="8"/>
      <c r="K65" s="8"/>
      <c r="L65" s="10"/>
      <c r="M65" s="8"/>
      <c r="N65" s="10"/>
      <c r="O65" s="9"/>
      <c r="P65" s="9"/>
      <c r="Q65" s="11" t="str">
        <f t="shared" ca="1" si="4"/>
        <v/>
      </c>
      <c r="R65" s="11" t="str">
        <f t="shared" si="5"/>
        <v/>
      </c>
      <c r="S65" s="12" t="str">
        <f t="shared" ca="1" si="6"/>
        <v/>
      </c>
      <c r="T65" s="12" t="str">
        <f t="shared" ca="1" si="7"/>
        <v/>
      </c>
    </row>
    <row r="66" spans="1:20" ht="18" customHeight="1">
      <c r="A66" s="8"/>
      <c r="B66" s="9"/>
      <c r="C66" s="8"/>
      <c r="D66" s="10"/>
      <c r="E66" s="8"/>
      <c r="F66" s="8"/>
      <c r="G66" s="10"/>
      <c r="H66" s="10"/>
      <c r="I66" s="8"/>
      <c r="J66" s="8"/>
      <c r="K66" s="8"/>
      <c r="L66" s="10"/>
      <c r="M66" s="8"/>
      <c r="N66" s="10"/>
      <c r="O66" s="9"/>
      <c r="P66" s="9"/>
      <c r="Q66" s="11" t="str">
        <f t="shared" ca="1" si="4"/>
        <v/>
      </c>
      <c r="R66" s="11" t="str">
        <f t="shared" si="5"/>
        <v/>
      </c>
      <c r="S66" s="12" t="str">
        <f t="shared" ca="1" si="6"/>
        <v/>
      </c>
      <c r="T66" s="12" t="str">
        <f t="shared" ca="1" si="7"/>
        <v/>
      </c>
    </row>
    <row r="67" spans="1:20" ht="18" customHeight="1">
      <c r="A67" s="8"/>
      <c r="B67" s="9"/>
      <c r="C67" s="8"/>
      <c r="D67" s="10"/>
      <c r="E67" s="8"/>
      <c r="F67" s="8"/>
      <c r="G67" s="10"/>
      <c r="H67" s="10"/>
      <c r="I67" s="8"/>
      <c r="J67" s="8"/>
      <c r="K67" s="8"/>
      <c r="L67" s="10"/>
      <c r="M67" s="8"/>
      <c r="N67" s="10"/>
      <c r="O67" s="9"/>
      <c r="P67" s="9"/>
      <c r="Q67" s="11" t="str">
        <f t="shared" ca="1" si="4"/>
        <v/>
      </c>
      <c r="R67" s="11" t="str">
        <f t="shared" si="5"/>
        <v/>
      </c>
      <c r="S67" s="12" t="str">
        <f t="shared" ca="1" si="6"/>
        <v/>
      </c>
      <c r="T67" s="12" t="str">
        <f t="shared" ca="1" si="7"/>
        <v/>
      </c>
    </row>
    <row r="68" spans="1:20" ht="18" customHeight="1">
      <c r="A68" s="8"/>
      <c r="B68" s="9"/>
      <c r="C68" s="8"/>
      <c r="D68" s="10"/>
      <c r="E68" s="8"/>
      <c r="F68" s="8"/>
      <c r="G68" s="10"/>
      <c r="H68" s="10"/>
      <c r="I68" s="8"/>
      <c r="J68" s="8"/>
      <c r="K68" s="8"/>
      <c r="L68" s="10"/>
      <c r="M68" s="8"/>
      <c r="N68" s="10"/>
      <c r="O68" s="9"/>
      <c r="P68" s="9"/>
      <c r="Q68" s="11" t="str">
        <f t="shared" ca="1" si="4"/>
        <v/>
      </c>
      <c r="R68" s="11" t="str">
        <f t="shared" si="5"/>
        <v/>
      </c>
      <c r="S68" s="12" t="str">
        <f t="shared" ca="1" si="6"/>
        <v/>
      </c>
      <c r="T68" s="12" t="str">
        <f t="shared" ca="1" si="7"/>
        <v/>
      </c>
    </row>
    <row r="69" spans="1:20" ht="18" customHeight="1">
      <c r="A69" s="8"/>
      <c r="B69" s="9"/>
      <c r="C69" s="8"/>
      <c r="D69" s="10"/>
      <c r="E69" s="8"/>
      <c r="F69" s="8"/>
      <c r="G69" s="10"/>
      <c r="H69" s="10"/>
      <c r="I69" s="8"/>
      <c r="J69" s="8"/>
      <c r="K69" s="8"/>
      <c r="L69" s="10"/>
      <c r="M69" s="8"/>
      <c r="N69" s="10"/>
      <c r="O69" s="9"/>
      <c r="P69" s="9"/>
      <c r="Q69" s="11" t="str">
        <f t="shared" ref="Q69:Q100" ca="1" si="8">IF(B69="","",IF(P69&lt;&gt;"",P69-B69,TODAY()-B69))</f>
        <v/>
      </c>
      <c r="R69" s="11" t="str">
        <f t="shared" ref="R69:R100" si="9">IF(I69="","",INDEX(SLA_Days,MATCH(I69,Priority_List,0)))</f>
        <v/>
      </c>
      <c r="S69" s="12" t="str">
        <f t="shared" ref="S69:S100" ca="1" si="10">IF(OR(Q69="",R69=""),"",IF(P69&lt;&gt;"",IF(Q69&lt;=R69,"Met","Breached"),IF(Q69&gt;R69,"Breached - Still Open","On Track")))</f>
        <v/>
      </c>
      <c r="T69" s="12" t="str">
        <f t="shared" ref="T69:T100" ca="1" si="11">IF(C69="","",IF(OR(J69="Resolved",J69="Closed"),"Done",IF(O69="","No follow-up set",IF(O69&lt;TODAY(),"OVERDUE",IF(O69=TODAY(),"Due Today","Upcoming")))))</f>
        <v/>
      </c>
    </row>
    <row r="70" spans="1:20" ht="18" customHeight="1">
      <c r="A70" s="8"/>
      <c r="B70" s="9"/>
      <c r="C70" s="8"/>
      <c r="D70" s="10"/>
      <c r="E70" s="8"/>
      <c r="F70" s="8"/>
      <c r="G70" s="10"/>
      <c r="H70" s="10"/>
      <c r="I70" s="8"/>
      <c r="J70" s="8"/>
      <c r="K70" s="8"/>
      <c r="L70" s="10"/>
      <c r="M70" s="8"/>
      <c r="N70" s="10"/>
      <c r="O70" s="9"/>
      <c r="P70" s="9"/>
      <c r="Q70" s="11" t="str">
        <f t="shared" ca="1" si="8"/>
        <v/>
      </c>
      <c r="R70" s="11" t="str">
        <f t="shared" si="9"/>
        <v/>
      </c>
      <c r="S70" s="12" t="str">
        <f t="shared" ca="1" si="10"/>
        <v/>
      </c>
      <c r="T70" s="12" t="str">
        <f t="shared" ca="1" si="11"/>
        <v/>
      </c>
    </row>
    <row r="71" spans="1:20" ht="18" customHeight="1">
      <c r="A71" s="8"/>
      <c r="B71" s="9"/>
      <c r="C71" s="8"/>
      <c r="D71" s="10"/>
      <c r="E71" s="8"/>
      <c r="F71" s="8"/>
      <c r="G71" s="10"/>
      <c r="H71" s="10"/>
      <c r="I71" s="8"/>
      <c r="J71" s="8"/>
      <c r="K71" s="8"/>
      <c r="L71" s="10"/>
      <c r="M71" s="8"/>
      <c r="N71" s="10"/>
      <c r="O71" s="9"/>
      <c r="P71" s="9"/>
      <c r="Q71" s="11" t="str">
        <f t="shared" ca="1" si="8"/>
        <v/>
      </c>
      <c r="R71" s="11" t="str">
        <f t="shared" si="9"/>
        <v/>
      </c>
      <c r="S71" s="12" t="str">
        <f t="shared" ca="1" si="10"/>
        <v/>
      </c>
      <c r="T71" s="12" t="str">
        <f t="shared" ca="1" si="11"/>
        <v/>
      </c>
    </row>
    <row r="72" spans="1:20" ht="18" customHeight="1">
      <c r="A72" s="8"/>
      <c r="B72" s="9"/>
      <c r="C72" s="8"/>
      <c r="D72" s="10"/>
      <c r="E72" s="8"/>
      <c r="F72" s="8"/>
      <c r="G72" s="10"/>
      <c r="H72" s="10"/>
      <c r="I72" s="8"/>
      <c r="J72" s="8"/>
      <c r="K72" s="8"/>
      <c r="L72" s="10"/>
      <c r="M72" s="8"/>
      <c r="N72" s="10"/>
      <c r="O72" s="9"/>
      <c r="P72" s="9"/>
      <c r="Q72" s="11" t="str">
        <f t="shared" ca="1" si="8"/>
        <v/>
      </c>
      <c r="R72" s="11" t="str">
        <f t="shared" si="9"/>
        <v/>
      </c>
      <c r="S72" s="12" t="str">
        <f t="shared" ca="1" si="10"/>
        <v/>
      </c>
      <c r="T72" s="12" t="str">
        <f t="shared" ca="1" si="11"/>
        <v/>
      </c>
    </row>
    <row r="73" spans="1:20" ht="18" customHeight="1">
      <c r="A73" s="8"/>
      <c r="B73" s="9"/>
      <c r="C73" s="8"/>
      <c r="D73" s="10"/>
      <c r="E73" s="8"/>
      <c r="F73" s="8"/>
      <c r="G73" s="10"/>
      <c r="H73" s="10"/>
      <c r="I73" s="8"/>
      <c r="J73" s="8"/>
      <c r="K73" s="8"/>
      <c r="L73" s="10"/>
      <c r="M73" s="8"/>
      <c r="N73" s="10"/>
      <c r="O73" s="9"/>
      <c r="P73" s="9"/>
      <c r="Q73" s="11" t="str">
        <f t="shared" ca="1" si="8"/>
        <v/>
      </c>
      <c r="R73" s="11" t="str">
        <f t="shared" si="9"/>
        <v/>
      </c>
      <c r="S73" s="12" t="str">
        <f t="shared" ca="1" si="10"/>
        <v/>
      </c>
      <c r="T73" s="12" t="str">
        <f t="shared" ca="1" si="11"/>
        <v/>
      </c>
    </row>
    <row r="74" spans="1:20" ht="18" customHeight="1">
      <c r="A74" s="8"/>
      <c r="B74" s="9"/>
      <c r="C74" s="8"/>
      <c r="D74" s="10"/>
      <c r="E74" s="8"/>
      <c r="F74" s="8"/>
      <c r="G74" s="10"/>
      <c r="H74" s="10"/>
      <c r="I74" s="8"/>
      <c r="J74" s="8"/>
      <c r="K74" s="8"/>
      <c r="L74" s="10"/>
      <c r="M74" s="8"/>
      <c r="N74" s="10"/>
      <c r="O74" s="9"/>
      <c r="P74" s="9"/>
      <c r="Q74" s="11" t="str">
        <f t="shared" ca="1" si="8"/>
        <v/>
      </c>
      <c r="R74" s="11" t="str">
        <f t="shared" si="9"/>
        <v/>
      </c>
      <c r="S74" s="12" t="str">
        <f t="shared" ca="1" si="10"/>
        <v/>
      </c>
      <c r="T74" s="12" t="str">
        <f t="shared" ca="1" si="11"/>
        <v/>
      </c>
    </row>
    <row r="75" spans="1:20" ht="18" customHeight="1">
      <c r="A75" s="8"/>
      <c r="B75" s="9"/>
      <c r="C75" s="8"/>
      <c r="D75" s="10"/>
      <c r="E75" s="8"/>
      <c r="F75" s="8"/>
      <c r="G75" s="10"/>
      <c r="H75" s="10"/>
      <c r="I75" s="8"/>
      <c r="J75" s="8"/>
      <c r="K75" s="8"/>
      <c r="L75" s="10"/>
      <c r="M75" s="8"/>
      <c r="N75" s="10"/>
      <c r="O75" s="9"/>
      <c r="P75" s="9"/>
      <c r="Q75" s="11" t="str">
        <f t="shared" ca="1" si="8"/>
        <v/>
      </c>
      <c r="R75" s="11" t="str">
        <f t="shared" si="9"/>
        <v/>
      </c>
      <c r="S75" s="12" t="str">
        <f t="shared" ca="1" si="10"/>
        <v/>
      </c>
      <c r="T75" s="12" t="str">
        <f t="shared" ca="1" si="11"/>
        <v/>
      </c>
    </row>
    <row r="76" spans="1:20" ht="18" customHeight="1">
      <c r="A76" s="8"/>
      <c r="B76" s="9"/>
      <c r="C76" s="8"/>
      <c r="D76" s="10"/>
      <c r="E76" s="8"/>
      <c r="F76" s="8"/>
      <c r="G76" s="10"/>
      <c r="H76" s="10"/>
      <c r="I76" s="8"/>
      <c r="J76" s="8"/>
      <c r="K76" s="8"/>
      <c r="L76" s="10"/>
      <c r="M76" s="8"/>
      <c r="N76" s="10"/>
      <c r="O76" s="9"/>
      <c r="P76" s="9"/>
      <c r="Q76" s="11" t="str">
        <f t="shared" ca="1" si="8"/>
        <v/>
      </c>
      <c r="R76" s="11" t="str">
        <f t="shared" si="9"/>
        <v/>
      </c>
      <c r="S76" s="12" t="str">
        <f t="shared" ca="1" si="10"/>
        <v/>
      </c>
      <c r="T76" s="12" t="str">
        <f t="shared" ca="1" si="11"/>
        <v/>
      </c>
    </row>
    <row r="77" spans="1:20" ht="18" customHeight="1">
      <c r="A77" s="8"/>
      <c r="B77" s="9"/>
      <c r="C77" s="8"/>
      <c r="D77" s="10"/>
      <c r="E77" s="8"/>
      <c r="F77" s="8"/>
      <c r="G77" s="10"/>
      <c r="H77" s="10"/>
      <c r="I77" s="8"/>
      <c r="J77" s="8"/>
      <c r="K77" s="8"/>
      <c r="L77" s="10"/>
      <c r="M77" s="8"/>
      <c r="N77" s="10"/>
      <c r="O77" s="9"/>
      <c r="P77" s="9"/>
      <c r="Q77" s="11" t="str">
        <f t="shared" ca="1" si="8"/>
        <v/>
      </c>
      <c r="R77" s="11" t="str">
        <f t="shared" si="9"/>
        <v/>
      </c>
      <c r="S77" s="12" t="str">
        <f t="shared" ca="1" si="10"/>
        <v/>
      </c>
      <c r="T77" s="12" t="str">
        <f t="shared" ca="1" si="11"/>
        <v/>
      </c>
    </row>
    <row r="78" spans="1:20" ht="18" customHeight="1">
      <c r="A78" s="8"/>
      <c r="B78" s="9"/>
      <c r="C78" s="8"/>
      <c r="D78" s="10"/>
      <c r="E78" s="8"/>
      <c r="F78" s="8"/>
      <c r="G78" s="10"/>
      <c r="H78" s="10"/>
      <c r="I78" s="8"/>
      <c r="J78" s="8"/>
      <c r="K78" s="8"/>
      <c r="L78" s="10"/>
      <c r="M78" s="8"/>
      <c r="N78" s="10"/>
      <c r="O78" s="9"/>
      <c r="P78" s="9"/>
      <c r="Q78" s="11" t="str">
        <f t="shared" ca="1" si="8"/>
        <v/>
      </c>
      <c r="R78" s="11" t="str">
        <f t="shared" si="9"/>
        <v/>
      </c>
      <c r="S78" s="12" t="str">
        <f t="shared" ca="1" si="10"/>
        <v/>
      </c>
      <c r="T78" s="12" t="str">
        <f t="shared" ca="1" si="11"/>
        <v/>
      </c>
    </row>
    <row r="79" spans="1:20" ht="18" customHeight="1">
      <c r="A79" s="8"/>
      <c r="B79" s="9"/>
      <c r="C79" s="8"/>
      <c r="D79" s="10"/>
      <c r="E79" s="8"/>
      <c r="F79" s="8"/>
      <c r="G79" s="10"/>
      <c r="H79" s="10"/>
      <c r="I79" s="8"/>
      <c r="J79" s="8"/>
      <c r="K79" s="8"/>
      <c r="L79" s="10"/>
      <c r="M79" s="8"/>
      <c r="N79" s="10"/>
      <c r="O79" s="9"/>
      <c r="P79" s="9"/>
      <c r="Q79" s="11" t="str">
        <f t="shared" ca="1" si="8"/>
        <v/>
      </c>
      <c r="R79" s="11" t="str">
        <f t="shared" si="9"/>
        <v/>
      </c>
      <c r="S79" s="12" t="str">
        <f t="shared" ca="1" si="10"/>
        <v/>
      </c>
      <c r="T79" s="12" t="str">
        <f t="shared" ca="1" si="11"/>
        <v/>
      </c>
    </row>
    <row r="80" spans="1:20" ht="18" customHeight="1">
      <c r="A80" s="8"/>
      <c r="B80" s="9"/>
      <c r="C80" s="8"/>
      <c r="D80" s="10"/>
      <c r="E80" s="8"/>
      <c r="F80" s="8"/>
      <c r="G80" s="10"/>
      <c r="H80" s="10"/>
      <c r="I80" s="8"/>
      <c r="J80" s="8"/>
      <c r="K80" s="8"/>
      <c r="L80" s="10"/>
      <c r="M80" s="8"/>
      <c r="N80" s="10"/>
      <c r="O80" s="9"/>
      <c r="P80" s="9"/>
      <c r="Q80" s="11" t="str">
        <f t="shared" ca="1" si="8"/>
        <v/>
      </c>
      <c r="R80" s="11" t="str">
        <f t="shared" si="9"/>
        <v/>
      </c>
      <c r="S80" s="12" t="str">
        <f t="shared" ca="1" si="10"/>
        <v/>
      </c>
      <c r="T80" s="12" t="str">
        <f t="shared" ca="1" si="11"/>
        <v/>
      </c>
    </row>
    <row r="81" spans="1:20" ht="18" customHeight="1">
      <c r="A81" s="8"/>
      <c r="B81" s="9"/>
      <c r="C81" s="8"/>
      <c r="D81" s="10"/>
      <c r="E81" s="8"/>
      <c r="F81" s="8"/>
      <c r="G81" s="10"/>
      <c r="H81" s="10"/>
      <c r="I81" s="8"/>
      <c r="J81" s="8"/>
      <c r="K81" s="8"/>
      <c r="L81" s="10"/>
      <c r="M81" s="8"/>
      <c r="N81" s="10"/>
      <c r="O81" s="9"/>
      <c r="P81" s="9"/>
      <c r="Q81" s="11" t="str">
        <f t="shared" ca="1" si="8"/>
        <v/>
      </c>
      <c r="R81" s="11" t="str">
        <f t="shared" si="9"/>
        <v/>
      </c>
      <c r="S81" s="12" t="str">
        <f t="shared" ca="1" si="10"/>
        <v/>
      </c>
      <c r="T81" s="12" t="str">
        <f t="shared" ca="1" si="11"/>
        <v/>
      </c>
    </row>
    <row r="82" spans="1:20" ht="18" customHeight="1">
      <c r="A82" s="8"/>
      <c r="B82" s="9"/>
      <c r="C82" s="8"/>
      <c r="D82" s="10"/>
      <c r="E82" s="8"/>
      <c r="F82" s="8"/>
      <c r="G82" s="10"/>
      <c r="H82" s="10"/>
      <c r="I82" s="8"/>
      <c r="J82" s="8"/>
      <c r="K82" s="8"/>
      <c r="L82" s="10"/>
      <c r="M82" s="8"/>
      <c r="N82" s="10"/>
      <c r="O82" s="9"/>
      <c r="P82" s="9"/>
      <c r="Q82" s="11" t="str">
        <f t="shared" ca="1" si="8"/>
        <v/>
      </c>
      <c r="R82" s="11" t="str">
        <f t="shared" si="9"/>
        <v/>
      </c>
      <c r="S82" s="12" t="str">
        <f t="shared" ca="1" si="10"/>
        <v/>
      </c>
      <c r="T82" s="12" t="str">
        <f t="shared" ca="1" si="11"/>
        <v/>
      </c>
    </row>
    <row r="83" spans="1:20" ht="18" customHeight="1">
      <c r="A83" s="8"/>
      <c r="B83" s="9"/>
      <c r="C83" s="8"/>
      <c r="D83" s="10"/>
      <c r="E83" s="8"/>
      <c r="F83" s="8"/>
      <c r="G83" s="10"/>
      <c r="H83" s="10"/>
      <c r="I83" s="8"/>
      <c r="J83" s="8"/>
      <c r="K83" s="8"/>
      <c r="L83" s="10"/>
      <c r="M83" s="8"/>
      <c r="N83" s="10"/>
      <c r="O83" s="9"/>
      <c r="P83" s="9"/>
      <c r="Q83" s="11" t="str">
        <f t="shared" ca="1" si="8"/>
        <v/>
      </c>
      <c r="R83" s="11" t="str">
        <f t="shared" si="9"/>
        <v/>
      </c>
      <c r="S83" s="12" t="str">
        <f t="shared" ca="1" si="10"/>
        <v/>
      </c>
      <c r="T83" s="12" t="str">
        <f t="shared" ca="1" si="11"/>
        <v/>
      </c>
    </row>
    <row r="84" spans="1:20" ht="18" customHeight="1">
      <c r="A84" s="8"/>
      <c r="B84" s="9"/>
      <c r="C84" s="8"/>
      <c r="D84" s="10"/>
      <c r="E84" s="8"/>
      <c r="F84" s="8"/>
      <c r="G84" s="10"/>
      <c r="H84" s="10"/>
      <c r="I84" s="8"/>
      <c r="J84" s="8"/>
      <c r="K84" s="8"/>
      <c r="L84" s="10"/>
      <c r="M84" s="8"/>
      <c r="N84" s="10"/>
      <c r="O84" s="9"/>
      <c r="P84" s="9"/>
      <c r="Q84" s="11" t="str">
        <f t="shared" ca="1" si="8"/>
        <v/>
      </c>
      <c r="R84" s="11" t="str">
        <f t="shared" si="9"/>
        <v/>
      </c>
      <c r="S84" s="12" t="str">
        <f t="shared" ca="1" si="10"/>
        <v/>
      </c>
      <c r="T84" s="12" t="str">
        <f t="shared" ca="1" si="11"/>
        <v/>
      </c>
    </row>
    <row r="85" spans="1:20" ht="18" customHeight="1">
      <c r="A85" s="8"/>
      <c r="B85" s="9"/>
      <c r="C85" s="8"/>
      <c r="D85" s="10"/>
      <c r="E85" s="8"/>
      <c r="F85" s="8"/>
      <c r="G85" s="10"/>
      <c r="H85" s="10"/>
      <c r="I85" s="8"/>
      <c r="J85" s="8"/>
      <c r="K85" s="8"/>
      <c r="L85" s="10"/>
      <c r="M85" s="8"/>
      <c r="N85" s="10"/>
      <c r="O85" s="9"/>
      <c r="P85" s="9"/>
      <c r="Q85" s="11" t="str">
        <f t="shared" ca="1" si="8"/>
        <v/>
      </c>
      <c r="R85" s="11" t="str">
        <f t="shared" si="9"/>
        <v/>
      </c>
      <c r="S85" s="12" t="str">
        <f t="shared" ca="1" si="10"/>
        <v/>
      </c>
      <c r="T85" s="12" t="str">
        <f t="shared" ca="1" si="11"/>
        <v/>
      </c>
    </row>
    <row r="86" spans="1:20" ht="18" customHeight="1">
      <c r="A86" s="8"/>
      <c r="B86" s="9"/>
      <c r="C86" s="8"/>
      <c r="D86" s="10"/>
      <c r="E86" s="8"/>
      <c r="F86" s="8"/>
      <c r="G86" s="10"/>
      <c r="H86" s="10"/>
      <c r="I86" s="8"/>
      <c r="J86" s="8"/>
      <c r="K86" s="8"/>
      <c r="L86" s="10"/>
      <c r="M86" s="8"/>
      <c r="N86" s="10"/>
      <c r="O86" s="9"/>
      <c r="P86" s="9"/>
      <c r="Q86" s="11" t="str">
        <f t="shared" ca="1" si="8"/>
        <v/>
      </c>
      <c r="R86" s="11" t="str">
        <f t="shared" si="9"/>
        <v/>
      </c>
      <c r="S86" s="12" t="str">
        <f t="shared" ca="1" si="10"/>
        <v/>
      </c>
      <c r="T86" s="12" t="str">
        <f t="shared" ca="1" si="11"/>
        <v/>
      </c>
    </row>
    <row r="87" spans="1:20" ht="18" customHeight="1">
      <c r="A87" s="8"/>
      <c r="B87" s="9"/>
      <c r="C87" s="8"/>
      <c r="D87" s="10"/>
      <c r="E87" s="8"/>
      <c r="F87" s="8"/>
      <c r="G87" s="10"/>
      <c r="H87" s="10"/>
      <c r="I87" s="8"/>
      <c r="J87" s="8"/>
      <c r="K87" s="8"/>
      <c r="L87" s="10"/>
      <c r="M87" s="8"/>
      <c r="N87" s="10"/>
      <c r="O87" s="9"/>
      <c r="P87" s="9"/>
      <c r="Q87" s="11" t="str">
        <f t="shared" ca="1" si="8"/>
        <v/>
      </c>
      <c r="R87" s="11" t="str">
        <f t="shared" si="9"/>
        <v/>
      </c>
      <c r="S87" s="12" t="str">
        <f t="shared" ca="1" si="10"/>
        <v/>
      </c>
      <c r="T87" s="12" t="str">
        <f t="shared" ca="1" si="11"/>
        <v/>
      </c>
    </row>
    <row r="88" spans="1:20" ht="18" customHeight="1">
      <c r="A88" s="8"/>
      <c r="B88" s="9"/>
      <c r="C88" s="8"/>
      <c r="D88" s="10"/>
      <c r="E88" s="8"/>
      <c r="F88" s="8"/>
      <c r="G88" s="10"/>
      <c r="H88" s="10"/>
      <c r="I88" s="8"/>
      <c r="J88" s="8"/>
      <c r="K88" s="8"/>
      <c r="L88" s="10"/>
      <c r="M88" s="8"/>
      <c r="N88" s="10"/>
      <c r="O88" s="9"/>
      <c r="P88" s="9"/>
      <c r="Q88" s="11" t="str">
        <f t="shared" ca="1" si="8"/>
        <v/>
      </c>
      <c r="R88" s="11" t="str">
        <f t="shared" si="9"/>
        <v/>
      </c>
      <c r="S88" s="12" t="str">
        <f t="shared" ca="1" si="10"/>
        <v/>
      </c>
      <c r="T88" s="12" t="str">
        <f t="shared" ca="1" si="11"/>
        <v/>
      </c>
    </row>
    <row r="89" spans="1:20" ht="18" customHeight="1">
      <c r="A89" s="8"/>
      <c r="B89" s="9"/>
      <c r="C89" s="8"/>
      <c r="D89" s="10"/>
      <c r="E89" s="8"/>
      <c r="F89" s="8"/>
      <c r="G89" s="10"/>
      <c r="H89" s="10"/>
      <c r="I89" s="8"/>
      <c r="J89" s="8"/>
      <c r="K89" s="8"/>
      <c r="L89" s="10"/>
      <c r="M89" s="8"/>
      <c r="N89" s="10"/>
      <c r="O89" s="9"/>
      <c r="P89" s="9"/>
      <c r="Q89" s="11" t="str">
        <f t="shared" ca="1" si="8"/>
        <v/>
      </c>
      <c r="R89" s="11" t="str">
        <f t="shared" si="9"/>
        <v/>
      </c>
      <c r="S89" s="12" t="str">
        <f t="shared" ca="1" si="10"/>
        <v/>
      </c>
      <c r="T89" s="12" t="str">
        <f t="shared" ca="1" si="11"/>
        <v/>
      </c>
    </row>
    <row r="90" spans="1:20" ht="18" customHeight="1">
      <c r="A90" s="8"/>
      <c r="B90" s="9"/>
      <c r="C90" s="8"/>
      <c r="D90" s="10"/>
      <c r="E90" s="8"/>
      <c r="F90" s="8"/>
      <c r="G90" s="10"/>
      <c r="H90" s="10"/>
      <c r="I90" s="8"/>
      <c r="J90" s="8"/>
      <c r="K90" s="8"/>
      <c r="L90" s="10"/>
      <c r="M90" s="8"/>
      <c r="N90" s="10"/>
      <c r="O90" s="9"/>
      <c r="P90" s="9"/>
      <c r="Q90" s="11" t="str">
        <f t="shared" ca="1" si="8"/>
        <v/>
      </c>
      <c r="R90" s="11" t="str">
        <f t="shared" si="9"/>
        <v/>
      </c>
      <c r="S90" s="12" t="str">
        <f t="shared" ca="1" si="10"/>
        <v/>
      </c>
      <c r="T90" s="12" t="str">
        <f t="shared" ca="1" si="11"/>
        <v/>
      </c>
    </row>
    <row r="91" spans="1:20" ht="18" customHeight="1">
      <c r="A91" s="8"/>
      <c r="B91" s="9"/>
      <c r="C91" s="8"/>
      <c r="D91" s="10"/>
      <c r="E91" s="8"/>
      <c r="F91" s="8"/>
      <c r="G91" s="10"/>
      <c r="H91" s="10"/>
      <c r="I91" s="8"/>
      <c r="J91" s="8"/>
      <c r="K91" s="8"/>
      <c r="L91" s="10"/>
      <c r="M91" s="8"/>
      <c r="N91" s="10"/>
      <c r="O91" s="9"/>
      <c r="P91" s="9"/>
      <c r="Q91" s="11" t="str">
        <f t="shared" ca="1" si="8"/>
        <v/>
      </c>
      <c r="R91" s="11" t="str">
        <f t="shared" si="9"/>
        <v/>
      </c>
      <c r="S91" s="12" t="str">
        <f t="shared" ca="1" si="10"/>
        <v/>
      </c>
      <c r="T91" s="12" t="str">
        <f t="shared" ca="1" si="11"/>
        <v/>
      </c>
    </row>
    <row r="92" spans="1:20" ht="18" customHeight="1">
      <c r="A92" s="8"/>
      <c r="B92" s="9"/>
      <c r="C92" s="8"/>
      <c r="D92" s="10"/>
      <c r="E92" s="8"/>
      <c r="F92" s="8"/>
      <c r="G92" s="10"/>
      <c r="H92" s="10"/>
      <c r="I92" s="8"/>
      <c r="J92" s="8"/>
      <c r="K92" s="8"/>
      <c r="L92" s="10"/>
      <c r="M92" s="8"/>
      <c r="N92" s="10"/>
      <c r="O92" s="9"/>
      <c r="P92" s="9"/>
      <c r="Q92" s="11" t="str">
        <f t="shared" ca="1" si="8"/>
        <v/>
      </c>
      <c r="R92" s="11" t="str">
        <f t="shared" si="9"/>
        <v/>
      </c>
      <c r="S92" s="12" t="str">
        <f t="shared" ca="1" si="10"/>
        <v/>
      </c>
      <c r="T92" s="12" t="str">
        <f t="shared" ca="1" si="11"/>
        <v/>
      </c>
    </row>
    <row r="93" spans="1:20" ht="18" customHeight="1">
      <c r="A93" s="8"/>
      <c r="B93" s="9"/>
      <c r="C93" s="8"/>
      <c r="D93" s="10"/>
      <c r="E93" s="8"/>
      <c r="F93" s="8"/>
      <c r="G93" s="10"/>
      <c r="H93" s="10"/>
      <c r="I93" s="8"/>
      <c r="J93" s="8"/>
      <c r="K93" s="8"/>
      <c r="L93" s="10"/>
      <c r="M93" s="8"/>
      <c r="N93" s="10"/>
      <c r="O93" s="9"/>
      <c r="P93" s="9"/>
      <c r="Q93" s="11" t="str">
        <f t="shared" ca="1" si="8"/>
        <v/>
      </c>
      <c r="R93" s="11" t="str">
        <f t="shared" si="9"/>
        <v/>
      </c>
      <c r="S93" s="12" t="str">
        <f t="shared" ca="1" si="10"/>
        <v/>
      </c>
      <c r="T93" s="12" t="str">
        <f t="shared" ca="1" si="11"/>
        <v/>
      </c>
    </row>
    <row r="94" spans="1:20" ht="18" customHeight="1">
      <c r="A94" s="8"/>
      <c r="B94" s="9"/>
      <c r="C94" s="8"/>
      <c r="D94" s="10"/>
      <c r="E94" s="8"/>
      <c r="F94" s="8"/>
      <c r="G94" s="10"/>
      <c r="H94" s="10"/>
      <c r="I94" s="8"/>
      <c r="J94" s="8"/>
      <c r="K94" s="8"/>
      <c r="L94" s="10"/>
      <c r="M94" s="8"/>
      <c r="N94" s="10"/>
      <c r="O94" s="9"/>
      <c r="P94" s="9"/>
      <c r="Q94" s="11" t="str">
        <f t="shared" ca="1" si="8"/>
        <v/>
      </c>
      <c r="R94" s="11" t="str">
        <f t="shared" si="9"/>
        <v/>
      </c>
      <c r="S94" s="12" t="str">
        <f t="shared" ca="1" si="10"/>
        <v/>
      </c>
      <c r="T94" s="12" t="str">
        <f t="shared" ca="1" si="11"/>
        <v/>
      </c>
    </row>
    <row r="95" spans="1:20" ht="18" customHeight="1">
      <c r="A95" s="8"/>
      <c r="B95" s="9"/>
      <c r="C95" s="8"/>
      <c r="D95" s="10"/>
      <c r="E95" s="8"/>
      <c r="F95" s="8"/>
      <c r="G95" s="10"/>
      <c r="H95" s="10"/>
      <c r="I95" s="8"/>
      <c r="J95" s="8"/>
      <c r="K95" s="8"/>
      <c r="L95" s="10"/>
      <c r="M95" s="8"/>
      <c r="N95" s="10"/>
      <c r="O95" s="9"/>
      <c r="P95" s="9"/>
      <c r="Q95" s="11" t="str">
        <f t="shared" ca="1" si="8"/>
        <v/>
      </c>
      <c r="R95" s="11" t="str">
        <f t="shared" si="9"/>
        <v/>
      </c>
      <c r="S95" s="12" t="str">
        <f t="shared" ca="1" si="10"/>
        <v/>
      </c>
      <c r="T95" s="12" t="str">
        <f t="shared" ca="1" si="11"/>
        <v/>
      </c>
    </row>
    <row r="96" spans="1:20" ht="18" customHeight="1">
      <c r="A96" s="8"/>
      <c r="B96" s="9"/>
      <c r="C96" s="8"/>
      <c r="D96" s="10"/>
      <c r="E96" s="8"/>
      <c r="F96" s="8"/>
      <c r="G96" s="10"/>
      <c r="H96" s="10"/>
      <c r="I96" s="8"/>
      <c r="J96" s="8"/>
      <c r="K96" s="8"/>
      <c r="L96" s="10"/>
      <c r="M96" s="8"/>
      <c r="N96" s="10"/>
      <c r="O96" s="9"/>
      <c r="P96" s="9"/>
      <c r="Q96" s="11" t="str">
        <f t="shared" ca="1" si="8"/>
        <v/>
      </c>
      <c r="R96" s="11" t="str">
        <f t="shared" si="9"/>
        <v/>
      </c>
      <c r="S96" s="12" t="str">
        <f t="shared" ca="1" si="10"/>
        <v/>
      </c>
      <c r="T96" s="12" t="str">
        <f t="shared" ca="1" si="11"/>
        <v/>
      </c>
    </row>
    <row r="97" spans="1:20" ht="18" customHeight="1">
      <c r="A97" s="8"/>
      <c r="B97" s="9"/>
      <c r="C97" s="8"/>
      <c r="D97" s="10"/>
      <c r="E97" s="8"/>
      <c r="F97" s="8"/>
      <c r="G97" s="10"/>
      <c r="H97" s="10"/>
      <c r="I97" s="8"/>
      <c r="J97" s="8"/>
      <c r="K97" s="8"/>
      <c r="L97" s="10"/>
      <c r="M97" s="8"/>
      <c r="N97" s="10"/>
      <c r="O97" s="9"/>
      <c r="P97" s="9"/>
      <c r="Q97" s="11" t="str">
        <f t="shared" ca="1" si="8"/>
        <v/>
      </c>
      <c r="R97" s="11" t="str">
        <f t="shared" si="9"/>
        <v/>
      </c>
      <c r="S97" s="12" t="str">
        <f t="shared" ca="1" si="10"/>
        <v/>
      </c>
      <c r="T97" s="12" t="str">
        <f t="shared" ca="1" si="11"/>
        <v/>
      </c>
    </row>
    <row r="98" spans="1:20" ht="18" customHeight="1">
      <c r="A98" s="8"/>
      <c r="B98" s="9"/>
      <c r="C98" s="8"/>
      <c r="D98" s="10"/>
      <c r="E98" s="8"/>
      <c r="F98" s="8"/>
      <c r="G98" s="10"/>
      <c r="H98" s="10"/>
      <c r="I98" s="8"/>
      <c r="J98" s="8"/>
      <c r="K98" s="8"/>
      <c r="L98" s="10"/>
      <c r="M98" s="8"/>
      <c r="N98" s="10"/>
      <c r="O98" s="9"/>
      <c r="P98" s="9"/>
      <c r="Q98" s="11" t="str">
        <f t="shared" ca="1" si="8"/>
        <v/>
      </c>
      <c r="R98" s="11" t="str">
        <f t="shared" si="9"/>
        <v/>
      </c>
      <c r="S98" s="12" t="str">
        <f t="shared" ca="1" si="10"/>
        <v/>
      </c>
      <c r="T98" s="12" t="str">
        <f t="shared" ca="1" si="11"/>
        <v/>
      </c>
    </row>
    <row r="99" spans="1:20" ht="18" customHeight="1">
      <c r="A99" s="8"/>
      <c r="B99" s="9"/>
      <c r="C99" s="8"/>
      <c r="D99" s="10"/>
      <c r="E99" s="8"/>
      <c r="F99" s="8"/>
      <c r="G99" s="10"/>
      <c r="H99" s="10"/>
      <c r="I99" s="8"/>
      <c r="J99" s="8"/>
      <c r="K99" s="8"/>
      <c r="L99" s="10"/>
      <c r="M99" s="8"/>
      <c r="N99" s="10"/>
      <c r="O99" s="9"/>
      <c r="P99" s="9"/>
      <c r="Q99" s="11" t="str">
        <f t="shared" ca="1" si="8"/>
        <v/>
      </c>
      <c r="R99" s="11" t="str">
        <f t="shared" si="9"/>
        <v/>
      </c>
      <c r="S99" s="12" t="str">
        <f t="shared" ca="1" si="10"/>
        <v/>
      </c>
      <c r="T99" s="12" t="str">
        <f t="shared" ca="1" si="11"/>
        <v/>
      </c>
    </row>
    <row r="100" spans="1:20" ht="18" customHeight="1">
      <c r="A100" s="8"/>
      <c r="B100" s="9"/>
      <c r="C100" s="8"/>
      <c r="D100" s="10"/>
      <c r="E100" s="8"/>
      <c r="F100" s="8"/>
      <c r="G100" s="10"/>
      <c r="H100" s="10"/>
      <c r="I100" s="8"/>
      <c r="J100" s="8"/>
      <c r="K100" s="8"/>
      <c r="L100" s="10"/>
      <c r="M100" s="8"/>
      <c r="N100" s="10"/>
      <c r="O100" s="9"/>
      <c r="P100" s="9"/>
      <c r="Q100" s="11" t="str">
        <f t="shared" ca="1" si="8"/>
        <v/>
      </c>
      <c r="R100" s="11" t="str">
        <f t="shared" si="9"/>
        <v/>
      </c>
      <c r="S100" s="12" t="str">
        <f t="shared" ca="1" si="10"/>
        <v/>
      </c>
      <c r="T100" s="12" t="str">
        <f t="shared" ca="1" si="11"/>
        <v/>
      </c>
    </row>
    <row r="101" spans="1:20" ht="18" customHeight="1">
      <c r="A101" s="8"/>
      <c r="B101" s="9"/>
      <c r="C101" s="8"/>
      <c r="D101" s="10"/>
      <c r="E101" s="8"/>
      <c r="F101" s="8"/>
      <c r="G101" s="10"/>
      <c r="H101" s="10"/>
      <c r="I101" s="8"/>
      <c r="J101" s="8"/>
      <c r="K101" s="8"/>
      <c r="L101" s="10"/>
      <c r="M101" s="8"/>
      <c r="N101" s="10"/>
      <c r="O101" s="9"/>
      <c r="P101" s="9"/>
      <c r="Q101" s="11" t="str">
        <f t="shared" ref="Q101:Q132" ca="1" si="12">IF(B101="","",IF(P101&lt;&gt;"",P101-B101,TODAY()-B101))</f>
        <v/>
      </c>
      <c r="R101" s="11" t="str">
        <f t="shared" ref="R101:R132" si="13">IF(I101="","",INDEX(SLA_Days,MATCH(I101,Priority_List,0)))</f>
        <v/>
      </c>
      <c r="S101" s="12" t="str">
        <f t="shared" ref="S101:S132" ca="1" si="14">IF(OR(Q101="",R101=""),"",IF(P101&lt;&gt;"",IF(Q101&lt;=R101,"Met","Breached"),IF(Q101&gt;R101,"Breached - Still Open","On Track")))</f>
        <v/>
      </c>
      <c r="T101" s="12" t="str">
        <f t="shared" ref="T101:T132" ca="1" si="15">IF(C101="","",IF(OR(J101="Resolved",J101="Closed"),"Done",IF(O101="","No follow-up set",IF(O101&lt;TODAY(),"OVERDUE",IF(O101=TODAY(),"Due Today","Upcoming")))))</f>
        <v/>
      </c>
    </row>
    <row r="102" spans="1:20" ht="18" customHeight="1">
      <c r="A102" s="8"/>
      <c r="B102" s="9"/>
      <c r="C102" s="8"/>
      <c r="D102" s="10"/>
      <c r="E102" s="8"/>
      <c r="F102" s="8"/>
      <c r="G102" s="10"/>
      <c r="H102" s="10"/>
      <c r="I102" s="8"/>
      <c r="J102" s="8"/>
      <c r="K102" s="8"/>
      <c r="L102" s="10"/>
      <c r="M102" s="8"/>
      <c r="N102" s="10"/>
      <c r="O102" s="9"/>
      <c r="P102" s="9"/>
      <c r="Q102" s="11" t="str">
        <f t="shared" ca="1" si="12"/>
        <v/>
      </c>
      <c r="R102" s="11" t="str">
        <f t="shared" si="13"/>
        <v/>
      </c>
      <c r="S102" s="12" t="str">
        <f t="shared" ca="1" si="14"/>
        <v/>
      </c>
      <c r="T102" s="12" t="str">
        <f t="shared" ca="1" si="15"/>
        <v/>
      </c>
    </row>
    <row r="103" spans="1:20" ht="18" customHeight="1">
      <c r="A103" s="8"/>
      <c r="B103" s="9"/>
      <c r="C103" s="8"/>
      <c r="D103" s="10"/>
      <c r="E103" s="8"/>
      <c r="F103" s="8"/>
      <c r="G103" s="10"/>
      <c r="H103" s="10"/>
      <c r="I103" s="8"/>
      <c r="J103" s="8"/>
      <c r="K103" s="8"/>
      <c r="L103" s="10"/>
      <c r="M103" s="8"/>
      <c r="N103" s="10"/>
      <c r="O103" s="9"/>
      <c r="P103" s="9"/>
      <c r="Q103" s="11" t="str">
        <f t="shared" ca="1" si="12"/>
        <v/>
      </c>
      <c r="R103" s="11" t="str">
        <f t="shared" si="13"/>
        <v/>
      </c>
      <c r="S103" s="12" t="str">
        <f t="shared" ca="1" si="14"/>
        <v/>
      </c>
      <c r="T103" s="12" t="str">
        <f t="shared" ca="1" si="15"/>
        <v/>
      </c>
    </row>
    <row r="104" spans="1:20" ht="18" customHeight="1">
      <c r="A104" s="8"/>
      <c r="B104" s="9"/>
      <c r="C104" s="8"/>
      <c r="D104" s="10"/>
      <c r="E104" s="8"/>
      <c r="F104" s="8"/>
      <c r="G104" s="10"/>
      <c r="H104" s="10"/>
      <c r="I104" s="8"/>
      <c r="J104" s="8"/>
      <c r="K104" s="8"/>
      <c r="L104" s="10"/>
      <c r="M104" s="8"/>
      <c r="N104" s="10"/>
      <c r="O104" s="9"/>
      <c r="P104" s="9"/>
      <c r="Q104" s="11" t="str">
        <f t="shared" ca="1" si="12"/>
        <v/>
      </c>
      <c r="R104" s="11" t="str">
        <f t="shared" si="13"/>
        <v/>
      </c>
      <c r="S104" s="12" t="str">
        <f t="shared" ca="1" si="14"/>
        <v/>
      </c>
      <c r="T104" s="12" t="str">
        <f t="shared" ca="1" si="15"/>
        <v/>
      </c>
    </row>
    <row r="105" spans="1:20" ht="18" customHeight="1">
      <c r="A105" s="8"/>
      <c r="B105" s="9"/>
      <c r="C105" s="8"/>
      <c r="D105" s="10"/>
      <c r="E105" s="8"/>
      <c r="F105" s="8"/>
      <c r="G105" s="10"/>
      <c r="H105" s="10"/>
      <c r="I105" s="8"/>
      <c r="J105" s="8"/>
      <c r="K105" s="8"/>
      <c r="L105" s="10"/>
      <c r="M105" s="8"/>
      <c r="N105" s="10"/>
      <c r="O105" s="9"/>
      <c r="P105" s="9"/>
      <c r="Q105" s="11" t="str">
        <f t="shared" ca="1" si="12"/>
        <v/>
      </c>
      <c r="R105" s="11" t="str">
        <f t="shared" si="13"/>
        <v/>
      </c>
      <c r="S105" s="12" t="str">
        <f t="shared" ca="1" si="14"/>
        <v/>
      </c>
      <c r="T105" s="12" t="str">
        <f t="shared" ca="1" si="15"/>
        <v/>
      </c>
    </row>
    <row r="106" spans="1:20" ht="18" customHeight="1">
      <c r="A106" s="8"/>
      <c r="B106" s="9"/>
      <c r="C106" s="8"/>
      <c r="D106" s="10"/>
      <c r="E106" s="8"/>
      <c r="F106" s="8"/>
      <c r="G106" s="10"/>
      <c r="H106" s="10"/>
      <c r="I106" s="8"/>
      <c r="J106" s="8"/>
      <c r="K106" s="8"/>
      <c r="L106" s="10"/>
      <c r="M106" s="8"/>
      <c r="N106" s="10"/>
      <c r="O106" s="9"/>
      <c r="P106" s="9"/>
      <c r="Q106" s="11" t="str">
        <f t="shared" ca="1" si="12"/>
        <v/>
      </c>
      <c r="R106" s="11" t="str">
        <f t="shared" si="13"/>
        <v/>
      </c>
      <c r="S106" s="12" t="str">
        <f t="shared" ca="1" si="14"/>
        <v/>
      </c>
      <c r="T106" s="12" t="str">
        <f t="shared" ca="1" si="15"/>
        <v/>
      </c>
    </row>
    <row r="107" spans="1:20" ht="18" customHeight="1">
      <c r="A107" s="8"/>
      <c r="B107" s="9"/>
      <c r="C107" s="8"/>
      <c r="D107" s="10"/>
      <c r="E107" s="8"/>
      <c r="F107" s="8"/>
      <c r="G107" s="10"/>
      <c r="H107" s="10"/>
      <c r="I107" s="8"/>
      <c r="J107" s="8"/>
      <c r="K107" s="8"/>
      <c r="L107" s="10"/>
      <c r="M107" s="8"/>
      <c r="N107" s="10"/>
      <c r="O107" s="9"/>
      <c r="P107" s="9"/>
      <c r="Q107" s="11" t="str">
        <f t="shared" ca="1" si="12"/>
        <v/>
      </c>
      <c r="R107" s="11" t="str">
        <f t="shared" si="13"/>
        <v/>
      </c>
      <c r="S107" s="12" t="str">
        <f t="shared" ca="1" si="14"/>
        <v/>
      </c>
      <c r="T107" s="12" t="str">
        <f t="shared" ca="1" si="15"/>
        <v/>
      </c>
    </row>
    <row r="108" spans="1:20" ht="18" customHeight="1">
      <c r="A108" s="8"/>
      <c r="B108" s="9"/>
      <c r="C108" s="8"/>
      <c r="D108" s="10"/>
      <c r="E108" s="8"/>
      <c r="F108" s="8"/>
      <c r="G108" s="10"/>
      <c r="H108" s="10"/>
      <c r="I108" s="8"/>
      <c r="J108" s="8"/>
      <c r="K108" s="8"/>
      <c r="L108" s="10"/>
      <c r="M108" s="8"/>
      <c r="N108" s="10"/>
      <c r="O108" s="9"/>
      <c r="P108" s="9"/>
      <c r="Q108" s="11" t="str">
        <f t="shared" ca="1" si="12"/>
        <v/>
      </c>
      <c r="R108" s="11" t="str">
        <f t="shared" si="13"/>
        <v/>
      </c>
      <c r="S108" s="12" t="str">
        <f t="shared" ca="1" si="14"/>
        <v/>
      </c>
      <c r="T108" s="12" t="str">
        <f t="shared" ca="1" si="15"/>
        <v/>
      </c>
    </row>
    <row r="109" spans="1:20" ht="18" customHeight="1">
      <c r="A109" s="8"/>
      <c r="B109" s="9"/>
      <c r="C109" s="8"/>
      <c r="D109" s="10"/>
      <c r="E109" s="8"/>
      <c r="F109" s="8"/>
      <c r="G109" s="10"/>
      <c r="H109" s="10"/>
      <c r="I109" s="8"/>
      <c r="J109" s="8"/>
      <c r="K109" s="8"/>
      <c r="L109" s="10"/>
      <c r="M109" s="8"/>
      <c r="N109" s="10"/>
      <c r="O109" s="9"/>
      <c r="P109" s="9"/>
      <c r="Q109" s="11" t="str">
        <f t="shared" ca="1" si="12"/>
        <v/>
      </c>
      <c r="R109" s="11" t="str">
        <f t="shared" si="13"/>
        <v/>
      </c>
      <c r="S109" s="12" t="str">
        <f t="shared" ca="1" si="14"/>
        <v/>
      </c>
      <c r="T109" s="12" t="str">
        <f t="shared" ca="1" si="15"/>
        <v/>
      </c>
    </row>
    <row r="110" spans="1:20" ht="18" customHeight="1">
      <c r="A110" s="8"/>
      <c r="B110" s="9"/>
      <c r="C110" s="8"/>
      <c r="D110" s="10"/>
      <c r="E110" s="8"/>
      <c r="F110" s="8"/>
      <c r="G110" s="10"/>
      <c r="H110" s="10"/>
      <c r="I110" s="8"/>
      <c r="J110" s="8"/>
      <c r="K110" s="8"/>
      <c r="L110" s="10"/>
      <c r="M110" s="8"/>
      <c r="N110" s="10"/>
      <c r="O110" s="9"/>
      <c r="P110" s="9"/>
      <c r="Q110" s="11" t="str">
        <f t="shared" ca="1" si="12"/>
        <v/>
      </c>
      <c r="R110" s="11" t="str">
        <f t="shared" si="13"/>
        <v/>
      </c>
      <c r="S110" s="12" t="str">
        <f t="shared" ca="1" si="14"/>
        <v/>
      </c>
      <c r="T110" s="12" t="str">
        <f t="shared" ca="1" si="15"/>
        <v/>
      </c>
    </row>
    <row r="111" spans="1:20" ht="18" customHeight="1">
      <c r="A111" s="8"/>
      <c r="B111" s="9"/>
      <c r="C111" s="8"/>
      <c r="D111" s="10"/>
      <c r="E111" s="8"/>
      <c r="F111" s="8"/>
      <c r="G111" s="10"/>
      <c r="H111" s="10"/>
      <c r="I111" s="8"/>
      <c r="J111" s="8"/>
      <c r="K111" s="8"/>
      <c r="L111" s="10"/>
      <c r="M111" s="8"/>
      <c r="N111" s="10"/>
      <c r="O111" s="9"/>
      <c r="P111" s="9"/>
      <c r="Q111" s="11" t="str">
        <f t="shared" ca="1" si="12"/>
        <v/>
      </c>
      <c r="R111" s="11" t="str">
        <f t="shared" si="13"/>
        <v/>
      </c>
      <c r="S111" s="12" t="str">
        <f t="shared" ca="1" si="14"/>
        <v/>
      </c>
      <c r="T111" s="12" t="str">
        <f t="shared" ca="1" si="15"/>
        <v/>
      </c>
    </row>
    <row r="112" spans="1:20" ht="18" customHeight="1">
      <c r="A112" s="8"/>
      <c r="B112" s="9"/>
      <c r="C112" s="8"/>
      <c r="D112" s="10"/>
      <c r="E112" s="8"/>
      <c r="F112" s="8"/>
      <c r="G112" s="10"/>
      <c r="H112" s="10"/>
      <c r="I112" s="8"/>
      <c r="J112" s="8"/>
      <c r="K112" s="8"/>
      <c r="L112" s="10"/>
      <c r="M112" s="8"/>
      <c r="N112" s="10"/>
      <c r="O112" s="9"/>
      <c r="P112" s="9"/>
      <c r="Q112" s="11" t="str">
        <f t="shared" ca="1" si="12"/>
        <v/>
      </c>
      <c r="R112" s="11" t="str">
        <f t="shared" si="13"/>
        <v/>
      </c>
      <c r="S112" s="12" t="str">
        <f t="shared" ca="1" si="14"/>
        <v/>
      </c>
      <c r="T112" s="12" t="str">
        <f t="shared" ca="1" si="15"/>
        <v/>
      </c>
    </row>
    <row r="113" spans="1:20" ht="18" customHeight="1">
      <c r="A113" s="8"/>
      <c r="B113" s="9"/>
      <c r="C113" s="8"/>
      <c r="D113" s="10"/>
      <c r="E113" s="8"/>
      <c r="F113" s="8"/>
      <c r="G113" s="10"/>
      <c r="H113" s="10"/>
      <c r="I113" s="8"/>
      <c r="J113" s="8"/>
      <c r="K113" s="8"/>
      <c r="L113" s="10"/>
      <c r="M113" s="8"/>
      <c r="N113" s="10"/>
      <c r="O113" s="9"/>
      <c r="P113" s="9"/>
      <c r="Q113" s="11" t="str">
        <f t="shared" ca="1" si="12"/>
        <v/>
      </c>
      <c r="R113" s="11" t="str">
        <f t="shared" si="13"/>
        <v/>
      </c>
      <c r="S113" s="12" t="str">
        <f t="shared" ca="1" si="14"/>
        <v/>
      </c>
      <c r="T113" s="12" t="str">
        <f t="shared" ca="1" si="15"/>
        <v/>
      </c>
    </row>
    <row r="114" spans="1:20" ht="18" customHeight="1">
      <c r="A114" s="8"/>
      <c r="B114" s="9"/>
      <c r="C114" s="8"/>
      <c r="D114" s="10"/>
      <c r="E114" s="8"/>
      <c r="F114" s="8"/>
      <c r="G114" s="10"/>
      <c r="H114" s="10"/>
      <c r="I114" s="8"/>
      <c r="J114" s="8"/>
      <c r="K114" s="8"/>
      <c r="L114" s="10"/>
      <c r="M114" s="8"/>
      <c r="N114" s="10"/>
      <c r="O114" s="9"/>
      <c r="P114" s="9"/>
      <c r="Q114" s="11" t="str">
        <f t="shared" ca="1" si="12"/>
        <v/>
      </c>
      <c r="R114" s="11" t="str">
        <f t="shared" si="13"/>
        <v/>
      </c>
      <c r="S114" s="12" t="str">
        <f t="shared" ca="1" si="14"/>
        <v/>
      </c>
      <c r="T114" s="12" t="str">
        <f t="shared" ca="1" si="15"/>
        <v/>
      </c>
    </row>
    <row r="115" spans="1:20" ht="18" customHeight="1">
      <c r="A115" s="8"/>
      <c r="B115" s="9"/>
      <c r="C115" s="8"/>
      <c r="D115" s="10"/>
      <c r="E115" s="8"/>
      <c r="F115" s="8"/>
      <c r="G115" s="10"/>
      <c r="H115" s="10"/>
      <c r="I115" s="8"/>
      <c r="J115" s="8"/>
      <c r="K115" s="8"/>
      <c r="L115" s="10"/>
      <c r="M115" s="8"/>
      <c r="N115" s="10"/>
      <c r="O115" s="9"/>
      <c r="P115" s="9"/>
      <c r="Q115" s="11" t="str">
        <f t="shared" ca="1" si="12"/>
        <v/>
      </c>
      <c r="R115" s="11" t="str">
        <f t="shared" si="13"/>
        <v/>
      </c>
      <c r="S115" s="12" t="str">
        <f t="shared" ca="1" si="14"/>
        <v/>
      </c>
      <c r="T115" s="12" t="str">
        <f t="shared" ca="1" si="15"/>
        <v/>
      </c>
    </row>
    <row r="116" spans="1:20" ht="18" customHeight="1">
      <c r="A116" s="8"/>
      <c r="B116" s="9"/>
      <c r="C116" s="8"/>
      <c r="D116" s="10"/>
      <c r="E116" s="8"/>
      <c r="F116" s="8"/>
      <c r="G116" s="10"/>
      <c r="H116" s="10"/>
      <c r="I116" s="8"/>
      <c r="J116" s="8"/>
      <c r="K116" s="8"/>
      <c r="L116" s="10"/>
      <c r="M116" s="8"/>
      <c r="N116" s="10"/>
      <c r="O116" s="9"/>
      <c r="P116" s="9"/>
      <c r="Q116" s="11" t="str">
        <f t="shared" ca="1" si="12"/>
        <v/>
      </c>
      <c r="R116" s="11" t="str">
        <f t="shared" si="13"/>
        <v/>
      </c>
      <c r="S116" s="12" t="str">
        <f t="shared" ca="1" si="14"/>
        <v/>
      </c>
      <c r="T116" s="12" t="str">
        <f t="shared" ca="1" si="15"/>
        <v/>
      </c>
    </row>
    <row r="117" spans="1:20" ht="18" customHeight="1">
      <c r="A117" s="8"/>
      <c r="B117" s="9"/>
      <c r="C117" s="8"/>
      <c r="D117" s="10"/>
      <c r="E117" s="8"/>
      <c r="F117" s="8"/>
      <c r="G117" s="10"/>
      <c r="H117" s="10"/>
      <c r="I117" s="8"/>
      <c r="J117" s="8"/>
      <c r="K117" s="8"/>
      <c r="L117" s="10"/>
      <c r="M117" s="8"/>
      <c r="N117" s="10"/>
      <c r="O117" s="9"/>
      <c r="P117" s="9"/>
      <c r="Q117" s="11" t="str">
        <f t="shared" ca="1" si="12"/>
        <v/>
      </c>
      <c r="R117" s="11" t="str">
        <f t="shared" si="13"/>
        <v/>
      </c>
      <c r="S117" s="12" t="str">
        <f t="shared" ca="1" si="14"/>
        <v/>
      </c>
      <c r="T117" s="12" t="str">
        <f t="shared" ca="1" si="15"/>
        <v/>
      </c>
    </row>
    <row r="118" spans="1:20" ht="18" customHeight="1">
      <c r="A118" s="8"/>
      <c r="B118" s="9"/>
      <c r="C118" s="8"/>
      <c r="D118" s="10"/>
      <c r="E118" s="8"/>
      <c r="F118" s="8"/>
      <c r="G118" s="10"/>
      <c r="H118" s="10"/>
      <c r="I118" s="8"/>
      <c r="J118" s="8"/>
      <c r="K118" s="8"/>
      <c r="L118" s="10"/>
      <c r="M118" s="8"/>
      <c r="N118" s="10"/>
      <c r="O118" s="9"/>
      <c r="P118" s="9"/>
      <c r="Q118" s="11" t="str">
        <f t="shared" ca="1" si="12"/>
        <v/>
      </c>
      <c r="R118" s="11" t="str">
        <f t="shared" si="13"/>
        <v/>
      </c>
      <c r="S118" s="12" t="str">
        <f t="shared" ca="1" si="14"/>
        <v/>
      </c>
      <c r="T118" s="12" t="str">
        <f t="shared" ca="1" si="15"/>
        <v/>
      </c>
    </row>
    <row r="119" spans="1:20" ht="18" customHeight="1">
      <c r="A119" s="8"/>
      <c r="B119" s="9"/>
      <c r="C119" s="8"/>
      <c r="D119" s="10"/>
      <c r="E119" s="8"/>
      <c r="F119" s="8"/>
      <c r="G119" s="10"/>
      <c r="H119" s="10"/>
      <c r="I119" s="8"/>
      <c r="J119" s="8"/>
      <c r="K119" s="8"/>
      <c r="L119" s="10"/>
      <c r="M119" s="8"/>
      <c r="N119" s="10"/>
      <c r="O119" s="9"/>
      <c r="P119" s="9"/>
      <c r="Q119" s="11" t="str">
        <f t="shared" ca="1" si="12"/>
        <v/>
      </c>
      <c r="R119" s="11" t="str">
        <f t="shared" si="13"/>
        <v/>
      </c>
      <c r="S119" s="12" t="str">
        <f t="shared" ca="1" si="14"/>
        <v/>
      </c>
      <c r="T119" s="12" t="str">
        <f t="shared" ca="1" si="15"/>
        <v/>
      </c>
    </row>
    <row r="120" spans="1:20" ht="18" customHeight="1">
      <c r="A120" s="8"/>
      <c r="B120" s="9"/>
      <c r="C120" s="8"/>
      <c r="D120" s="10"/>
      <c r="E120" s="8"/>
      <c r="F120" s="8"/>
      <c r="G120" s="10"/>
      <c r="H120" s="10"/>
      <c r="I120" s="8"/>
      <c r="J120" s="8"/>
      <c r="K120" s="8"/>
      <c r="L120" s="10"/>
      <c r="M120" s="8"/>
      <c r="N120" s="10"/>
      <c r="O120" s="9"/>
      <c r="P120" s="9"/>
      <c r="Q120" s="11" t="str">
        <f t="shared" ca="1" si="12"/>
        <v/>
      </c>
      <c r="R120" s="11" t="str">
        <f t="shared" si="13"/>
        <v/>
      </c>
      <c r="S120" s="12" t="str">
        <f t="shared" ca="1" si="14"/>
        <v/>
      </c>
      <c r="T120" s="12" t="str">
        <f t="shared" ca="1" si="15"/>
        <v/>
      </c>
    </row>
    <row r="121" spans="1:20" ht="18" customHeight="1">
      <c r="A121" s="8"/>
      <c r="B121" s="9"/>
      <c r="C121" s="8"/>
      <c r="D121" s="10"/>
      <c r="E121" s="8"/>
      <c r="F121" s="8"/>
      <c r="G121" s="10"/>
      <c r="H121" s="10"/>
      <c r="I121" s="8"/>
      <c r="J121" s="8"/>
      <c r="K121" s="8"/>
      <c r="L121" s="10"/>
      <c r="M121" s="8"/>
      <c r="N121" s="10"/>
      <c r="O121" s="9"/>
      <c r="P121" s="9"/>
      <c r="Q121" s="11" t="str">
        <f t="shared" ca="1" si="12"/>
        <v/>
      </c>
      <c r="R121" s="11" t="str">
        <f t="shared" si="13"/>
        <v/>
      </c>
      <c r="S121" s="12" t="str">
        <f t="shared" ca="1" si="14"/>
        <v/>
      </c>
      <c r="T121" s="12" t="str">
        <f t="shared" ca="1" si="15"/>
        <v/>
      </c>
    </row>
    <row r="122" spans="1:20" ht="18" customHeight="1">
      <c r="A122" s="8"/>
      <c r="B122" s="9"/>
      <c r="C122" s="8"/>
      <c r="D122" s="10"/>
      <c r="E122" s="8"/>
      <c r="F122" s="8"/>
      <c r="G122" s="10"/>
      <c r="H122" s="10"/>
      <c r="I122" s="8"/>
      <c r="J122" s="8"/>
      <c r="K122" s="8"/>
      <c r="L122" s="10"/>
      <c r="M122" s="8"/>
      <c r="N122" s="10"/>
      <c r="O122" s="9"/>
      <c r="P122" s="9"/>
      <c r="Q122" s="11" t="str">
        <f t="shared" ca="1" si="12"/>
        <v/>
      </c>
      <c r="R122" s="11" t="str">
        <f t="shared" si="13"/>
        <v/>
      </c>
      <c r="S122" s="12" t="str">
        <f t="shared" ca="1" si="14"/>
        <v/>
      </c>
      <c r="T122" s="12" t="str">
        <f t="shared" ca="1" si="15"/>
        <v/>
      </c>
    </row>
    <row r="123" spans="1:20" ht="18" customHeight="1">
      <c r="A123" s="8"/>
      <c r="B123" s="9"/>
      <c r="C123" s="8"/>
      <c r="D123" s="10"/>
      <c r="E123" s="8"/>
      <c r="F123" s="8"/>
      <c r="G123" s="10"/>
      <c r="H123" s="10"/>
      <c r="I123" s="8"/>
      <c r="J123" s="8"/>
      <c r="K123" s="8"/>
      <c r="L123" s="10"/>
      <c r="M123" s="8"/>
      <c r="N123" s="10"/>
      <c r="O123" s="9"/>
      <c r="P123" s="9"/>
      <c r="Q123" s="11" t="str">
        <f t="shared" ca="1" si="12"/>
        <v/>
      </c>
      <c r="R123" s="11" t="str">
        <f t="shared" si="13"/>
        <v/>
      </c>
      <c r="S123" s="12" t="str">
        <f t="shared" ca="1" si="14"/>
        <v/>
      </c>
      <c r="T123" s="12" t="str">
        <f t="shared" ca="1" si="15"/>
        <v/>
      </c>
    </row>
    <row r="124" spans="1:20" ht="18" customHeight="1">
      <c r="A124" s="8"/>
      <c r="B124" s="9"/>
      <c r="C124" s="8"/>
      <c r="D124" s="10"/>
      <c r="E124" s="8"/>
      <c r="F124" s="8"/>
      <c r="G124" s="10"/>
      <c r="H124" s="10"/>
      <c r="I124" s="8"/>
      <c r="J124" s="8"/>
      <c r="K124" s="8"/>
      <c r="L124" s="10"/>
      <c r="M124" s="8"/>
      <c r="N124" s="10"/>
      <c r="O124" s="9"/>
      <c r="P124" s="9"/>
      <c r="Q124" s="11" t="str">
        <f t="shared" ca="1" si="12"/>
        <v/>
      </c>
      <c r="R124" s="11" t="str">
        <f t="shared" si="13"/>
        <v/>
      </c>
      <c r="S124" s="12" t="str">
        <f t="shared" ca="1" si="14"/>
        <v/>
      </c>
      <c r="T124" s="12" t="str">
        <f t="shared" ca="1" si="15"/>
        <v/>
      </c>
    </row>
    <row r="125" spans="1:20" ht="18" customHeight="1">
      <c r="A125" s="8"/>
      <c r="B125" s="9"/>
      <c r="C125" s="8"/>
      <c r="D125" s="10"/>
      <c r="E125" s="8"/>
      <c r="F125" s="8"/>
      <c r="G125" s="10"/>
      <c r="H125" s="10"/>
      <c r="I125" s="8"/>
      <c r="J125" s="8"/>
      <c r="K125" s="8"/>
      <c r="L125" s="10"/>
      <c r="M125" s="8"/>
      <c r="N125" s="10"/>
      <c r="O125" s="9"/>
      <c r="P125" s="9"/>
      <c r="Q125" s="11" t="str">
        <f t="shared" ca="1" si="12"/>
        <v/>
      </c>
      <c r="R125" s="11" t="str">
        <f t="shared" si="13"/>
        <v/>
      </c>
      <c r="S125" s="12" t="str">
        <f t="shared" ca="1" si="14"/>
        <v/>
      </c>
      <c r="T125" s="12" t="str">
        <f t="shared" ca="1" si="15"/>
        <v/>
      </c>
    </row>
    <row r="126" spans="1:20" ht="18" customHeight="1">
      <c r="A126" s="8"/>
      <c r="B126" s="9"/>
      <c r="C126" s="8"/>
      <c r="D126" s="10"/>
      <c r="E126" s="8"/>
      <c r="F126" s="8"/>
      <c r="G126" s="10"/>
      <c r="H126" s="10"/>
      <c r="I126" s="8"/>
      <c r="J126" s="8"/>
      <c r="K126" s="8"/>
      <c r="L126" s="10"/>
      <c r="M126" s="8"/>
      <c r="N126" s="10"/>
      <c r="O126" s="9"/>
      <c r="P126" s="9"/>
      <c r="Q126" s="11" t="str">
        <f t="shared" ca="1" si="12"/>
        <v/>
      </c>
      <c r="R126" s="11" t="str">
        <f t="shared" si="13"/>
        <v/>
      </c>
      <c r="S126" s="12" t="str">
        <f t="shared" ca="1" si="14"/>
        <v/>
      </c>
      <c r="T126" s="12" t="str">
        <f t="shared" ca="1" si="15"/>
        <v/>
      </c>
    </row>
    <row r="127" spans="1:20" ht="18" customHeight="1">
      <c r="A127" s="8"/>
      <c r="B127" s="9"/>
      <c r="C127" s="8"/>
      <c r="D127" s="10"/>
      <c r="E127" s="8"/>
      <c r="F127" s="8"/>
      <c r="G127" s="10"/>
      <c r="H127" s="10"/>
      <c r="I127" s="8"/>
      <c r="J127" s="8"/>
      <c r="K127" s="8"/>
      <c r="L127" s="10"/>
      <c r="M127" s="8"/>
      <c r="N127" s="10"/>
      <c r="O127" s="9"/>
      <c r="P127" s="9"/>
      <c r="Q127" s="11" t="str">
        <f t="shared" ca="1" si="12"/>
        <v/>
      </c>
      <c r="R127" s="11" t="str">
        <f t="shared" si="13"/>
        <v/>
      </c>
      <c r="S127" s="12" t="str">
        <f t="shared" ca="1" si="14"/>
        <v/>
      </c>
      <c r="T127" s="12" t="str">
        <f t="shared" ca="1" si="15"/>
        <v/>
      </c>
    </row>
    <row r="128" spans="1:20" ht="18" customHeight="1">
      <c r="A128" s="8"/>
      <c r="B128" s="9"/>
      <c r="C128" s="8"/>
      <c r="D128" s="10"/>
      <c r="E128" s="8"/>
      <c r="F128" s="8"/>
      <c r="G128" s="10"/>
      <c r="H128" s="10"/>
      <c r="I128" s="8"/>
      <c r="J128" s="8"/>
      <c r="K128" s="8"/>
      <c r="L128" s="10"/>
      <c r="M128" s="8"/>
      <c r="N128" s="10"/>
      <c r="O128" s="9"/>
      <c r="P128" s="9"/>
      <c r="Q128" s="11" t="str">
        <f t="shared" ca="1" si="12"/>
        <v/>
      </c>
      <c r="R128" s="11" t="str">
        <f t="shared" si="13"/>
        <v/>
      </c>
      <c r="S128" s="12" t="str">
        <f t="shared" ca="1" si="14"/>
        <v/>
      </c>
      <c r="T128" s="12" t="str">
        <f t="shared" ca="1" si="15"/>
        <v/>
      </c>
    </row>
    <row r="129" spans="1:20" ht="18" customHeight="1">
      <c r="A129" s="8"/>
      <c r="B129" s="9"/>
      <c r="C129" s="8"/>
      <c r="D129" s="10"/>
      <c r="E129" s="8"/>
      <c r="F129" s="8"/>
      <c r="G129" s="10"/>
      <c r="H129" s="10"/>
      <c r="I129" s="8"/>
      <c r="J129" s="8"/>
      <c r="K129" s="8"/>
      <c r="L129" s="10"/>
      <c r="M129" s="8"/>
      <c r="N129" s="10"/>
      <c r="O129" s="9"/>
      <c r="P129" s="9"/>
      <c r="Q129" s="11" t="str">
        <f t="shared" ca="1" si="12"/>
        <v/>
      </c>
      <c r="R129" s="11" t="str">
        <f t="shared" si="13"/>
        <v/>
      </c>
      <c r="S129" s="12" t="str">
        <f t="shared" ca="1" si="14"/>
        <v/>
      </c>
      <c r="T129" s="12" t="str">
        <f t="shared" ca="1" si="15"/>
        <v/>
      </c>
    </row>
    <row r="130" spans="1:20" ht="18" customHeight="1">
      <c r="A130" s="8"/>
      <c r="B130" s="9"/>
      <c r="C130" s="8"/>
      <c r="D130" s="10"/>
      <c r="E130" s="8"/>
      <c r="F130" s="8"/>
      <c r="G130" s="10"/>
      <c r="H130" s="10"/>
      <c r="I130" s="8"/>
      <c r="J130" s="8"/>
      <c r="K130" s="8"/>
      <c r="L130" s="10"/>
      <c r="M130" s="8"/>
      <c r="N130" s="10"/>
      <c r="O130" s="9"/>
      <c r="P130" s="9"/>
      <c r="Q130" s="11" t="str">
        <f t="shared" ca="1" si="12"/>
        <v/>
      </c>
      <c r="R130" s="11" t="str">
        <f t="shared" si="13"/>
        <v/>
      </c>
      <c r="S130" s="12" t="str">
        <f t="shared" ca="1" si="14"/>
        <v/>
      </c>
      <c r="T130" s="12" t="str">
        <f t="shared" ca="1" si="15"/>
        <v/>
      </c>
    </row>
    <row r="131" spans="1:20" ht="18" customHeight="1">
      <c r="A131" s="8"/>
      <c r="B131" s="9"/>
      <c r="C131" s="8"/>
      <c r="D131" s="10"/>
      <c r="E131" s="8"/>
      <c r="F131" s="8"/>
      <c r="G131" s="10"/>
      <c r="H131" s="10"/>
      <c r="I131" s="8"/>
      <c r="J131" s="8"/>
      <c r="K131" s="8"/>
      <c r="L131" s="10"/>
      <c r="M131" s="8"/>
      <c r="N131" s="10"/>
      <c r="O131" s="9"/>
      <c r="P131" s="9"/>
      <c r="Q131" s="11" t="str">
        <f t="shared" ca="1" si="12"/>
        <v/>
      </c>
      <c r="R131" s="11" t="str">
        <f t="shared" si="13"/>
        <v/>
      </c>
      <c r="S131" s="12" t="str">
        <f t="shared" ca="1" si="14"/>
        <v/>
      </c>
      <c r="T131" s="12" t="str">
        <f t="shared" ca="1" si="15"/>
        <v/>
      </c>
    </row>
    <row r="132" spans="1:20" ht="18" customHeight="1">
      <c r="A132" s="8"/>
      <c r="B132" s="9"/>
      <c r="C132" s="8"/>
      <c r="D132" s="10"/>
      <c r="E132" s="8"/>
      <c r="F132" s="8"/>
      <c r="G132" s="10"/>
      <c r="H132" s="10"/>
      <c r="I132" s="8"/>
      <c r="J132" s="8"/>
      <c r="K132" s="8"/>
      <c r="L132" s="10"/>
      <c r="M132" s="8"/>
      <c r="N132" s="10"/>
      <c r="O132" s="9"/>
      <c r="P132" s="9"/>
      <c r="Q132" s="11" t="str">
        <f t="shared" ca="1" si="12"/>
        <v/>
      </c>
      <c r="R132" s="11" t="str">
        <f t="shared" si="13"/>
        <v/>
      </c>
      <c r="S132" s="12" t="str">
        <f t="shared" ca="1" si="14"/>
        <v/>
      </c>
      <c r="T132" s="12" t="str">
        <f t="shared" ca="1" si="15"/>
        <v/>
      </c>
    </row>
    <row r="133" spans="1:20" ht="18" customHeight="1">
      <c r="A133" s="8"/>
      <c r="B133" s="9"/>
      <c r="C133" s="8"/>
      <c r="D133" s="10"/>
      <c r="E133" s="8"/>
      <c r="F133" s="8"/>
      <c r="G133" s="10"/>
      <c r="H133" s="10"/>
      <c r="I133" s="8"/>
      <c r="J133" s="8"/>
      <c r="K133" s="8"/>
      <c r="L133" s="10"/>
      <c r="M133" s="8"/>
      <c r="N133" s="10"/>
      <c r="O133" s="9"/>
      <c r="P133" s="9"/>
      <c r="Q133" s="11" t="str">
        <f t="shared" ref="Q133:Q164" ca="1" si="16">IF(B133="","",IF(P133&lt;&gt;"",P133-B133,TODAY()-B133))</f>
        <v/>
      </c>
      <c r="R133" s="11" t="str">
        <f t="shared" ref="R133:R164" si="17">IF(I133="","",INDEX(SLA_Days,MATCH(I133,Priority_List,0)))</f>
        <v/>
      </c>
      <c r="S133" s="12" t="str">
        <f t="shared" ref="S133:S164" ca="1" si="18">IF(OR(Q133="",R133=""),"",IF(P133&lt;&gt;"",IF(Q133&lt;=R133,"Met","Breached"),IF(Q133&gt;R133,"Breached - Still Open","On Track")))</f>
        <v/>
      </c>
      <c r="T133" s="12" t="str">
        <f t="shared" ref="T133:T164" ca="1" si="19">IF(C133="","",IF(OR(J133="Resolved",J133="Closed"),"Done",IF(O133="","No follow-up set",IF(O133&lt;TODAY(),"OVERDUE",IF(O133=TODAY(),"Due Today","Upcoming")))))</f>
        <v/>
      </c>
    </row>
    <row r="134" spans="1:20" ht="18" customHeight="1">
      <c r="A134" s="8"/>
      <c r="B134" s="9"/>
      <c r="C134" s="8"/>
      <c r="D134" s="10"/>
      <c r="E134" s="8"/>
      <c r="F134" s="8"/>
      <c r="G134" s="10"/>
      <c r="H134" s="10"/>
      <c r="I134" s="8"/>
      <c r="J134" s="8"/>
      <c r="K134" s="8"/>
      <c r="L134" s="10"/>
      <c r="M134" s="8"/>
      <c r="N134" s="10"/>
      <c r="O134" s="9"/>
      <c r="P134" s="9"/>
      <c r="Q134" s="11" t="str">
        <f t="shared" ca="1" si="16"/>
        <v/>
      </c>
      <c r="R134" s="11" t="str">
        <f t="shared" si="17"/>
        <v/>
      </c>
      <c r="S134" s="12" t="str">
        <f t="shared" ca="1" si="18"/>
        <v/>
      </c>
      <c r="T134" s="12" t="str">
        <f t="shared" ca="1" si="19"/>
        <v/>
      </c>
    </row>
    <row r="135" spans="1:20" ht="18" customHeight="1">
      <c r="A135" s="8"/>
      <c r="B135" s="9"/>
      <c r="C135" s="8"/>
      <c r="D135" s="10"/>
      <c r="E135" s="8"/>
      <c r="F135" s="8"/>
      <c r="G135" s="10"/>
      <c r="H135" s="10"/>
      <c r="I135" s="8"/>
      <c r="J135" s="8"/>
      <c r="K135" s="8"/>
      <c r="L135" s="10"/>
      <c r="M135" s="8"/>
      <c r="N135" s="10"/>
      <c r="O135" s="9"/>
      <c r="P135" s="9"/>
      <c r="Q135" s="11" t="str">
        <f t="shared" ca="1" si="16"/>
        <v/>
      </c>
      <c r="R135" s="11" t="str">
        <f t="shared" si="17"/>
        <v/>
      </c>
      <c r="S135" s="12" t="str">
        <f t="shared" ca="1" si="18"/>
        <v/>
      </c>
      <c r="T135" s="12" t="str">
        <f t="shared" ca="1" si="19"/>
        <v/>
      </c>
    </row>
    <row r="136" spans="1:20" ht="18" customHeight="1">
      <c r="A136" s="8"/>
      <c r="B136" s="9"/>
      <c r="C136" s="8"/>
      <c r="D136" s="10"/>
      <c r="E136" s="8"/>
      <c r="F136" s="8"/>
      <c r="G136" s="10"/>
      <c r="H136" s="10"/>
      <c r="I136" s="8"/>
      <c r="J136" s="8"/>
      <c r="K136" s="8"/>
      <c r="L136" s="10"/>
      <c r="M136" s="8"/>
      <c r="N136" s="10"/>
      <c r="O136" s="9"/>
      <c r="P136" s="9"/>
      <c r="Q136" s="11" t="str">
        <f t="shared" ca="1" si="16"/>
        <v/>
      </c>
      <c r="R136" s="11" t="str">
        <f t="shared" si="17"/>
        <v/>
      </c>
      <c r="S136" s="12" t="str">
        <f t="shared" ca="1" si="18"/>
        <v/>
      </c>
      <c r="T136" s="12" t="str">
        <f t="shared" ca="1" si="19"/>
        <v/>
      </c>
    </row>
    <row r="137" spans="1:20" ht="18" customHeight="1">
      <c r="A137" s="8"/>
      <c r="B137" s="9"/>
      <c r="C137" s="8"/>
      <c r="D137" s="10"/>
      <c r="E137" s="8"/>
      <c r="F137" s="8"/>
      <c r="G137" s="10"/>
      <c r="H137" s="10"/>
      <c r="I137" s="8"/>
      <c r="J137" s="8"/>
      <c r="K137" s="8"/>
      <c r="L137" s="10"/>
      <c r="M137" s="8"/>
      <c r="N137" s="10"/>
      <c r="O137" s="9"/>
      <c r="P137" s="9"/>
      <c r="Q137" s="11" t="str">
        <f t="shared" ca="1" si="16"/>
        <v/>
      </c>
      <c r="R137" s="11" t="str">
        <f t="shared" si="17"/>
        <v/>
      </c>
      <c r="S137" s="12" t="str">
        <f t="shared" ca="1" si="18"/>
        <v/>
      </c>
      <c r="T137" s="12" t="str">
        <f t="shared" ca="1" si="19"/>
        <v/>
      </c>
    </row>
    <row r="138" spans="1:20" ht="18" customHeight="1">
      <c r="A138" s="8"/>
      <c r="B138" s="9"/>
      <c r="C138" s="8"/>
      <c r="D138" s="10"/>
      <c r="E138" s="8"/>
      <c r="F138" s="8"/>
      <c r="G138" s="10"/>
      <c r="H138" s="10"/>
      <c r="I138" s="8"/>
      <c r="J138" s="8"/>
      <c r="K138" s="8"/>
      <c r="L138" s="10"/>
      <c r="M138" s="8"/>
      <c r="N138" s="10"/>
      <c r="O138" s="9"/>
      <c r="P138" s="9"/>
      <c r="Q138" s="11" t="str">
        <f t="shared" ca="1" si="16"/>
        <v/>
      </c>
      <c r="R138" s="11" t="str">
        <f t="shared" si="17"/>
        <v/>
      </c>
      <c r="S138" s="12" t="str">
        <f t="shared" ca="1" si="18"/>
        <v/>
      </c>
      <c r="T138" s="12" t="str">
        <f t="shared" ca="1" si="19"/>
        <v/>
      </c>
    </row>
    <row r="139" spans="1:20" ht="18" customHeight="1">
      <c r="A139" s="8"/>
      <c r="B139" s="9"/>
      <c r="C139" s="8"/>
      <c r="D139" s="10"/>
      <c r="E139" s="8"/>
      <c r="F139" s="8"/>
      <c r="G139" s="10"/>
      <c r="H139" s="10"/>
      <c r="I139" s="8"/>
      <c r="J139" s="8"/>
      <c r="K139" s="8"/>
      <c r="L139" s="10"/>
      <c r="M139" s="8"/>
      <c r="N139" s="10"/>
      <c r="O139" s="9"/>
      <c r="P139" s="9"/>
      <c r="Q139" s="11" t="str">
        <f t="shared" ca="1" si="16"/>
        <v/>
      </c>
      <c r="R139" s="11" t="str">
        <f t="shared" si="17"/>
        <v/>
      </c>
      <c r="S139" s="12" t="str">
        <f t="shared" ca="1" si="18"/>
        <v/>
      </c>
      <c r="T139" s="12" t="str">
        <f t="shared" ca="1" si="19"/>
        <v/>
      </c>
    </row>
    <row r="140" spans="1:20" ht="18" customHeight="1">
      <c r="A140" s="8"/>
      <c r="B140" s="9"/>
      <c r="C140" s="8"/>
      <c r="D140" s="10"/>
      <c r="E140" s="8"/>
      <c r="F140" s="8"/>
      <c r="G140" s="10"/>
      <c r="H140" s="10"/>
      <c r="I140" s="8"/>
      <c r="J140" s="8"/>
      <c r="K140" s="8"/>
      <c r="L140" s="10"/>
      <c r="M140" s="8"/>
      <c r="N140" s="10"/>
      <c r="O140" s="9"/>
      <c r="P140" s="9"/>
      <c r="Q140" s="11" t="str">
        <f t="shared" ca="1" si="16"/>
        <v/>
      </c>
      <c r="R140" s="11" t="str">
        <f t="shared" si="17"/>
        <v/>
      </c>
      <c r="S140" s="12" t="str">
        <f t="shared" ca="1" si="18"/>
        <v/>
      </c>
      <c r="T140" s="12" t="str">
        <f t="shared" ca="1" si="19"/>
        <v/>
      </c>
    </row>
    <row r="141" spans="1:20" ht="18" customHeight="1">
      <c r="A141" s="8"/>
      <c r="B141" s="9"/>
      <c r="C141" s="8"/>
      <c r="D141" s="10"/>
      <c r="E141" s="8"/>
      <c r="F141" s="8"/>
      <c r="G141" s="10"/>
      <c r="H141" s="10"/>
      <c r="I141" s="8"/>
      <c r="J141" s="8"/>
      <c r="K141" s="8"/>
      <c r="L141" s="10"/>
      <c r="M141" s="8"/>
      <c r="N141" s="10"/>
      <c r="O141" s="9"/>
      <c r="P141" s="9"/>
      <c r="Q141" s="11" t="str">
        <f t="shared" ca="1" si="16"/>
        <v/>
      </c>
      <c r="R141" s="11" t="str">
        <f t="shared" si="17"/>
        <v/>
      </c>
      <c r="S141" s="12" t="str">
        <f t="shared" ca="1" si="18"/>
        <v/>
      </c>
      <c r="T141" s="12" t="str">
        <f t="shared" ca="1" si="19"/>
        <v/>
      </c>
    </row>
    <row r="142" spans="1:20" ht="18" customHeight="1">
      <c r="A142" s="8"/>
      <c r="B142" s="9"/>
      <c r="C142" s="8"/>
      <c r="D142" s="10"/>
      <c r="E142" s="8"/>
      <c r="F142" s="8"/>
      <c r="G142" s="10"/>
      <c r="H142" s="10"/>
      <c r="I142" s="8"/>
      <c r="J142" s="8"/>
      <c r="K142" s="8"/>
      <c r="L142" s="10"/>
      <c r="M142" s="8"/>
      <c r="N142" s="10"/>
      <c r="O142" s="9"/>
      <c r="P142" s="9"/>
      <c r="Q142" s="11" t="str">
        <f t="shared" ca="1" si="16"/>
        <v/>
      </c>
      <c r="R142" s="11" t="str">
        <f t="shared" si="17"/>
        <v/>
      </c>
      <c r="S142" s="12" t="str">
        <f t="shared" ca="1" si="18"/>
        <v/>
      </c>
      <c r="T142" s="12" t="str">
        <f t="shared" ca="1" si="19"/>
        <v/>
      </c>
    </row>
    <row r="143" spans="1:20" ht="18" customHeight="1">
      <c r="A143" s="8"/>
      <c r="B143" s="9"/>
      <c r="C143" s="8"/>
      <c r="D143" s="10"/>
      <c r="E143" s="8"/>
      <c r="F143" s="8"/>
      <c r="G143" s="10"/>
      <c r="H143" s="10"/>
      <c r="I143" s="8"/>
      <c r="J143" s="8"/>
      <c r="K143" s="8"/>
      <c r="L143" s="10"/>
      <c r="M143" s="8"/>
      <c r="N143" s="10"/>
      <c r="O143" s="9"/>
      <c r="P143" s="9"/>
      <c r="Q143" s="11" t="str">
        <f t="shared" ca="1" si="16"/>
        <v/>
      </c>
      <c r="R143" s="11" t="str">
        <f t="shared" si="17"/>
        <v/>
      </c>
      <c r="S143" s="12" t="str">
        <f t="shared" ca="1" si="18"/>
        <v/>
      </c>
      <c r="T143" s="12" t="str">
        <f t="shared" ca="1" si="19"/>
        <v/>
      </c>
    </row>
    <row r="144" spans="1:20" ht="18" customHeight="1">
      <c r="A144" s="8"/>
      <c r="B144" s="9"/>
      <c r="C144" s="8"/>
      <c r="D144" s="10"/>
      <c r="E144" s="8"/>
      <c r="F144" s="8"/>
      <c r="G144" s="10"/>
      <c r="H144" s="10"/>
      <c r="I144" s="8"/>
      <c r="J144" s="8"/>
      <c r="K144" s="8"/>
      <c r="L144" s="10"/>
      <c r="M144" s="8"/>
      <c r="N144" s="10"/>
      <c r="O144" s="9"/>
      <c r="P144" s="9"/>
      <c r="Q144" s="11" t="str">
        <f t="shared" ca="1" si="16"/>
        <v/>
      </c>
      <c r="R144" s="11" t="str">
        <f t="shared" si="17"/>
        <v/>
      </c>
      <c r="S144" s="12" t="str">
        <f t="shared" ca="1" si="18"/>
        <v/>
      </c>
      <c r="T144" s="12" t="str">
        <f t="shared" ca="1" si="19"/>
        <v/>
      </c>
    </row>
    <row r="145" spans="1:20" ht="18" customHeight="1">
      <c r="A145" s="8"/>
      <c r="B145" s="9"/>
      <c r="C145" s="8"/>
      <c r="D145" s="10"/>
      <c r="E145" s="8"/>
      <c r="F145" s="8"/>
      <c r="G145" s="10"/>
      <c r="H145" s="10"/>
      <c r="I145" s="8"/>
      <c r="J145" s="8"/>
      <c r="K145" s="8"/>
      <c r="L145" s="10"/>
      <c r="M145" s="8"/>
      <c r="N145" s="10"/>
      <c r="O145" s="9"/>
      <c r="P145" s="9"/>
      <c r="Q145" s="11" t="str">
        <f t="shared" ca="1" si="16"/>
        <v/>
      </c>
      <c r="R145" s="11" t="str">
        <f t="shared" si="17"/>
        <v/>
      </c>
      <c r="S145" s="12" t="str">
        <f t="shared" ca="1" si="18"/>
        <v/>
      </c>
      <c r="T145" s="12" t="str">
        <f t="shared" ca="1" si="19"/>
        <v/>
      </c>
    </row>
    <row r="146" spans="1:20" ht="18" customHeight="1">
      <c r="A146" s="8"/>
      <c r="B146" s="9"/>
      <c r="C146" s="8"/>
      <c r="D146" s="10"/>
      <c r="E146" s="8"/>
      <c r="F146" s="8"/>
      <c r="G146" s="10"/>
      <c r="H146" s="10"/>
      <c r="I146" s="8"/>
      <c r="J146" s="8"/>
      <c r="K146" s="8"/>
      <c r="L146" s="10"/>
      <c r="M146" s="8"/>
      <c r="N146" s="10"/>
      <c r="O146" s="9"/>
      <c r="P146" s="9"/>
      <c r="Q146" s="11" t="str">
        <f t="shared" ca="1" si="16"/>
        <v/>
      </c>
      <c r="R146" s="11" t="str">
        <f t="shared" si="17"/>
        <v/>
      </c>
      <c r="S146" s="12" t="str">
        <f t="shared" ca="1" si="18"/>
        <v/>
      </c>
      <c r="T146" s="12" t="str">
        <f t="shared" ca="1" si="19"/>
        <v/>
      </c>
    </row>
    <row r="147" spans="1:20" ht="18" customHeight="1">
      <c r="A147" s="8"/>
      <c r="B147" s="9"/>
      <c r="C147" s="8"/>
      <c r="D147" s="10"/>
      <c r="E147" s="8"/>
      <c r="F147" s="8"/>
      <c r="G147" s="10"/>
      <c r="H147" s="10"/>
      <c r="I147" s="8"/>
      <c r="J147" s="8"/>
      <c r="K147" s="8"/>
      <c r="L147" s="10"/>
      <c r="M147" s="8"/>
      <c r="N147" s="10"/>
      <c r="O147" s="9"/>
      <c r="P147" s="9"/>
      <c r="Q147" s="11" t="str">
        <f t="shared" ca="1" si="16"/>
        <v/>
      </c>
      <c r="R147" s="11" t="str">
        <f t="shared" si="17"/>
        <v/>
      </c>
      <c r="S147" s="12" t="str">
        <f t="shared" ca="1" si="18"/>
        <v/>
      </c>
      <c r="T147" s="12" t="str">
        <f t="shared" ca="1" si="19"/>
        <v/>
      </c>
    </row>
    <row r="148" spans="1:20" ht="18" customHeight="1">
      <c r="A148" s="8"/>
      <c r="B148" s="9"/>
      <c r="C148" s="8"/>
      <c r="D148" s="10"/>
      <c r="E148" s="8"/>
      <c r="F148" s="8"/>
      <c r="G148" s="10"/>
      <c r="H148" s="10"/>
      <c r="I148" s="8"/>
      <c r="J148" s="8"/>
      <c r="K148" s="8"/>
      <c r="L148" s="10"/>
      <c r="M148" s="8"/>
      <c r="N148" s="10"/>
      <c r="O148" s="9"/>
      <c r="P148" s="9"/>
      <c r="Q148" s="11" t="str">
        <f t="shared" ca="1" si="16"/>
        <v/>
      </c>
      <c r="R148" s="11" t="str">
        <f t="shared" si="17"/>
        <v/>
      </c>
      <c r="S148" s="12" t="str">
        <f t="shared" ca="1" si="18"/>
        <v/>
      </c>
      <c r="T148" s="12" t="str">
        <f t="shared" ca="1" si="19"/>
        <v/>
      </c>
    </row>
    <row r="149" spans="1:20" ht="18" customHeight="1">
      <c r="A149" s="8"/>
      <c r="B149" s="9"/>
      <c r="C149" s="8"/>
      <c r="D149" s="10"/>
      <c r="E149" s="8"/>
      <c r="F149" s="8"/>
      <c r="G149" s="10"/>
      <c r="H149" s="10"/>
      <c r="I149" s="8"/>
      <c r="J149" s="8"/>
      <c r="K149" s="8"/>
      <c r="L149" s="10"/>
      <c r="M149" s="8"/>
      <c r="N149" s="10"/>
      <c r="O149" s="9"/>
      <c r="P149" s="9"/>
      <c r="Q149" s="11" t="str">
        <f t="shared" ca="1" si="16"/>
        <v/>
      </c>
      <c r="R149" s="11" t="str">
        <f t="shared" si="17"/>
        <v/>
      </c>
      <c r="S149" s="12" t="str">
        <f t="shared" ca="1" si="18"/>
        <v/>
      </c>
      <c r="T149" s="12" t="str">
        <f t="shared" ca="1" si="19"/>
        <v/>
      </c>
    </row>
    <row r="150" spans="1:20" ht="18" customHeight="1">
      <c r="A150" s="8"/>
      <c r="B150" s="9"/>
      <c r="C150" s="8"/>
      <c r="D150" s="10"/>
      <c r="E150" s="8"/>
      <c r="F150" s="8"/>
      <c r="G150" s="10"/>
      <c r="H150" s="10"/>
      <c r="I150" s="8"/>
      <c r="J150" s="8"/>
      <c r="K150" s="8"/>
      <c r="L150" s="10"/>
      <c r="M150" s="8"/>
      <c r="N150" s="10"/>
      <c r="O150" s="9"/>
      <c r="P150" s="9"/>
      <c r="Q150" s="11" t="str">
        <f t="shared" ca="1" si="16"/>
        <v/>
      </c>
      <c r="R150" s="11" t="str">
        <f t="shared" si="17"/>
        <v/>
      </c>
      <c r="S150" s="12" t="str">
        <f t="shared" ca="1" si="18"/>
        <v/>
      </c>
      <c r="T150" s="12" t="str">
        <f t="shared" ca="1" si="19"/>
        <v/>
      </c>
    </row>
    <row r="151" spans="1:20" ht="18" customHeight="1">
      <c r="A151" s="8"/>
      <c r="B151" s="9"/>
      <c r="C151" s="8"/>
      <c r="D151" s="10"/>
      <c r="E151" s="8"/>
      <c r="F151" s="8"/>
      <c r="G151" s="10"/>
      <c r="H151" s="10"/>
      <c r="I151" s="8"/>
      <c r="J151" s="8"/>
      <c r="K151" s="8"/>
      <c r="L151" s="10"/>
      <c r="M151" s="8"/>
      <c r="N151" s="10"/>
      <c r="O151" s="9"/>
      <c r="P151" s="9"/>
      <c r="Q151" s="11" t="str">
        <f t="shared" ca="1" si="16"/>
        <v/>
      </c>
      <c r="R151" s="11" t="str">
        <f t="shared" si="17"/>
        <v/>
      </c>
      <c r="S151" s="12" t="str">
        <f t="shared" ca="1" si="18"/>
        <v/>
      </c>
      <c r="T151" s="12" t="str">
        <f t="shared" ca="1" si="19"/>
        <v/>
      </c>
    </row>
    <row r="152" spans="1:20" ht="18" customHeight="1">
      <c r="A152" s="8"/>
      <c r="B152" s="9"/>
      <c r="C152" s="8"/>
      <c r="D152" s="10"/>
      <c r="E152" s="8"/>
      <c r="F152" s="8"/>
      <c r="G152" s="10"/>
      <c r="H152" s="10"/>
      <c r="I152" s="8"/>
      <c r="J152" s="8"/>
      <c r="K152" s="8"/>
      <c r="L152" s="10"/>
      <c r="M152" s="8"/>
      <c r="N152" s="10"/>
      <c r="O152" s="9"/>
      <c r="P152" s="9"/>
      <c r="Q152" s="11" t="str">
        <f t="shared" ca="1" si="16"/>
        <v/>
      </c>
      <c r="R152" s="11" t="str">
        <f t="shared" si="17"/>
        <v/>
      </c>
      <c r="S152" s="12" t="str">
        <f t="shared" ca="1" si="18"/>
        <v/>
      </c>
      <c r="T152" s="12" t="str">
        <f t="shared" ca="1" si="19"/>
        <v/>
      </c>
    </row>
    <row r="153" spans="1:20" ht="18" customHeight="1">
      <c r="A153" s="8"/>
      <c r="B153" s="9"/>
      <c r="C153" s="8"/>
      <c r="D153" s="10"/>
      <c r="E153" s="8"/>
      <c r="F153" s="8"/>
      <c r="G153" s="10"/>
      <c r="H153" s="10"/>
      <c r="I153" s="8"/>
      <c r="J153" s="8"/>
      <c r="K153" s="8"/>
      <c r="L153" s="10"/>
      <c r="M153" s="8"/>
      <c r="N153" s="10"/>
      <c r="O153" s="9"/>
      <c r="P153" s="9"/>
      <c r="Q153" s="11" t="str">
        <f t="shared" ca="1" si="16"/>
        <v/>
      </c>
      <c r="R153" s="11" t="str">
        <f t="shared" si="17"/>
        <v/>
      </c>
      <c r="S153" s="12" t="str">
        <f t="shared" ca="1" si="18"/>
        <v/>
      </c>
      <c r="T153" s="12" t="str">
        <f t="shared" ca="1" si="19"/>
        <v/>
      </c>
    </row>
    <row r="154" spans="1:20" ht="18" customHeight="1">
      <c r="A154" s="8"/>
      <c r="B154" s="9"/>
      <c r="C154" s="8"/>
      <c r="D154" s="10"/>
      <c r="E154" s="8"/>
      <c r="F154" s="8"/>
      <c r="G154" s="10"/>
      <c r="H154" s="10"/>
      <c r="I154" s="8"/>
      <c r="J154" s="8"/>
      <c r="K154" s="8"/>
      <c r="L154" s="10"/>
      <c r="M154" s="8"/>
      <c r="N154" s="10"/>
      <c r="O154" s="9"/>
      <c r="P154" s="9"/>
      <c r="Q154" s="11" t="str">
        <f t="shared" ca="1" si="16"/>
        <v/>
      </c>
      <c r="R154" s="11" t="str">
        <f t="shared" si="17"/>
        <v/>
      </c>
      <c r="S154" s="12" t="str">
        <f t="shared" ca="1" si="18"/>
        <v/>
      </c>
      <c r="T154" s="12" t="str">
        <f t="shared" ca="1" si="19"/>
        <v/>
      </c>
    </row>
    <row r="155" spans="1:20" ht="18" customHeight="1">
      <c r="A155" s="8"/>
      <c r="B155" s="9"/>
      <c r="C155" s="8"/>
      <c r="D155" s="10"/>
      <c r="E155" s="8"/>
      <c r="F155" s="8"/>
      <c r="G155" s="10"/>
      <c r="H155" s="10"/>
      <c r="I155" s="8"/>
      <c r="J155" s="8"/>
      <c r="K155" s="8"/>
      <c r="L155" s="10"/>
      <c r="M155" s="8"/>
      <c r="N155" s="10"/>
      <c r="O155" s="9"/>
      <c r="P155" s="9"/>
      <c r="Q155" s="11" t="str">
        <f t="shared" ca="1" si="16"/>
        <v/>
      </c>
      <c r="R155" s="11" t="str">
        <f t="shared" si="17"/>
        <v/>
      </c>
      <c r="S155" s="12" t="str">
        <f t="shared" ca="1" si="18"/>
        <v/>
      </c>
      <c r="T155" s="12" t="str">
        <f t="shared" ca="1" si="19"/>
        <v/>
      </c>
    </row>
    <row r="156" spans="1:20" ht="18" customHeight="1">
      <c r="A156" s="8"/>
      <c r="B156" s="9"/>
      <c r="C156" s="8"/>
      <c r="D156" s="10"/>
      <c r="E156" s="8"/>
      <c r="F156" s="8"/>
      <c r="G156" s="10"/>
      <c r="H156" s="10"/>
      <c r="I156" s="8"/>
      <c r="J156" s="8"/>
      <c r="K156" s="8"/>
      <c r="L156" s="10"/>
      <c r="M156" s="8"/>
      <c r="N156" s="10"/>
      <c r="O156" s="9"/>
      <c r="P156" s="9"/>
      <c r="Q156" s="11" t="str">
        <f t="shared" ca="1" si="16"/>
        <v/>
      </c>
      <c r="R156" s="11" t="str">
        <f t="shared" si="17"/>
        <v/>
      </c>
      <c r="S156" s="12" t="str">
        <f t="shared" ca="1" si="18"/>
        <v/>
      </c>
      <c r="T156" s="12" t="str">
        <f t="shared" ca="1" si="19"/>
        <v/>
      </c>
    </row>
    <row r="157" spans="1:20" ht="18" customHeight="1">
      <c r="A157" s="8"/>
      <c r="B157" s="9"/>
      <c r="C157" s="8"/>
      <c r="D157" s="10"/>
      <c r="E157" s="8"/>
      <c r="F157" s="8"/>
      <c r="G157" s="10"/>
      <c r="H157" s="10"/>
      <c r="I157" s="8"/>
      <c r="J157" s="8"/>
      <c r="K157" s="8"/>
      <c r="L157" s="10"/>
      <c r="M157" s="8"/>
      <c r="N157" s="10"/>
      <c r="O157" s="9"/>
      <c r="P157" s="9"/>
      <c r="Q157" s="11" t="str">
        <f t="shared" ca="1" si="16"/>
        <v/>
      </c>
      <c r="R157" s="11" t="str">
        <f t="shared" si="17"/>
        <v/>
      </c>
      <c r="S157" s="12" t="str">
        <f t="shared" ca="1" si="18"/>
        <v/>
      </c>
      <c r="T157" s="12" t="str">
        <f t="shared" ca="1" si="19"/>
        <v/>
      </c>
    </row>
    <row r="158" spans="1:20" ht="18" customHeight="1">
      <c r="A158" s="8"/>
      <c r="B158" s="9"/>
      <c r="C158" s="8"/>
      <c r="D158" s="10"/>
      <c r="E158" s="8"/>
      <c r="F158" s="8"/>
      <c r="G158" s="10"/>
      <c r="H158" s="10"/>
      <c r="I158" s="8"/>
      <c r="J158" s="8"/>
      <c r="K158" s="8"/>
      <c r="L158" s="10"/>
      <c r="M158" s="8"/>
      <c r="N158" s="10"/>
      <c r="O158" s="9"/>
      <c r="P158" s="9"/>
      <c r="Q158" s="11" t="str">
        <f t="shared" ca="1" si="16"/>
        <v/>
      </c>
      <c r="R158" s="11" t="str">
        <f t="shared" si="17"/>
        <v/>
      </c>
      <c r="S158" s="12" t="str">
        <f t="shared" ca="1" si="18"/>
        <v/>
      </c>
      <c r="T158" s="12" t="str">
        <f t="shared" ca="1" si="19"/>
        <v/>
      </c>
    </row>
    <row r="159" spans="1:20" ht="18" customHeight="1">
      <c r="A159" s="8"/>
      <c r="B159" s="9"/>
      <c r="C159" s="8"/>
      <c r="D159" s="10"/>
      <c r="E159" s="8"/>
      <c r="F159" s="8"/>
      <c r="G159" s="10"/>
      <c r="H159" s="10"/>
      <c r="I159" s="8"/>
      <c r="J159" s="8"/>
      <c r="K159" s="8"/>
      <c r="L159" s="10"/>
      <c r="M159" s="8"/>
      <c r="N159" s="10"/>
      <c r="O159" s="9"/>
      <c r="P159" s="9"/>
      <c r="Q159" s="11" t="str">
        <f t="shared" ca="1" si="16"/>
        <v/>
      </c>
      <c r="R159" s="11" t="str">
        <f t="shared" si="17"/>
        <v/>
      </c>
      <c r="S159" s="12" t="str">
        <f t="shared" ca="1" si="18"/>
        <v/>
      </c>
      <c r="T159" s="12" t="str">
        <f t="shared" ca="1" si="19"/>
        <v/>
      </c>
    </row>
    <row r="160" spans="1:20" ht="18" customHeight="1">
      <c r="A160" s="8"/>
      <c r="B160" s="9"/>
      <c r="C160" s="8"/>
      <c r="D160" s="10"/>
      <c r="E160" s="8"/>
      <c r="F160" s="8"/>
      <c r="G160" s="10"/>
      <c r="H160" s="10"/>
      <c r="I160" s="8"/>
      <c r="J160" s="8"/>
      <c r="K160" s="8"/>
      <c r="L160" s="10"/>
      <c r="M160" s="8"/>
      <c r="N160" s="10"/>
      <c r="O160" s="9"/>
      <c r="P160" s="9"/>
      <c r="Q160" s="11" t="str">
        <f t="shared" ca="1" si="16"/>
        <v/>
      </c>
      <c r="R160" s="11" t="str">
        <f t="shared" si="17"/>
        <v/>
      </c>
      <c r="S160" s="12" t="str">
        <f t="shared" ca="1" si="18"/>
        <v/>
      </c>
      <c r="T160" s="12" t="str">
        <f t="shared" ca="1" si="19"/>
        <v/>
      </c>
    </row>
    <row r="161" spans="1:20" ht="18" customHeight="1">
      <c r="A161" s="8"/>
      <c r="B161" s="9"/>
      <c r="C161" s="8"/>
      <c r="D161" s="10"/>
      <c r="E161" s="8"/>
      <c r="F161" s="8"/>
      <c r="G161" s="10"/>
      <c r="H161" s="10"/>
      <c r="I161" s="8"/>
      <c r="J161" s="8"/>
      <c r="K161" s="8"/>
      <c r="L161" s="10"/>
      <c r="M161" s="8"/>
      <c r="N161" s="10"/>
      <c r="O161" s="9"/>
      <c r="P161" s="9"/>
      <c r="Q161" s="11" t="str">
        <f t="shared" ca="1" si="16"/>
        <v/>
      </c>
      <c r="R161" s="11" t="str">
        <f t="shared" si="17"/>
        <v/>
      </c>
      <c r="S161" s="12" t="str">
        <f t="shared" ca="1" si="18"/>
        <v/>
      </c>
      <c r="T161" s="12" t="str">
        <f t="shared" ca="1" si="19"/>
        <v/>
      </c>
    </row>
    <row r="162" spans="1:20" ht="18" customHeight="1">
      <c r="A162" s="8"/>
      <c r="B162" s="9"/>
      <c r="C162" s="8"/>
      <c r="D162" s="10"/>
      <c r="E162" s="8"/>
      <c r="F162" s="8"/>
      <c r="G162" s="10"/>
      <c r="H162" s="10"/>
      <c r="I162" s="8"/>
      <c r="J162" s="8"/>
      <c r="K162" s="8"/>
      <c r="L162" s="10"/>
      <c r="M162" s="8"/>
      <c r="N162" s="10"/>
      <c r="O162" s="9"/>
      <c r="P162" s="9"/>
      <c r="Q162" s="11" t="str">
        <f t="shared" ca="1" si="16"/>
        <v/>
      </c>
      <c r="R162" s="11" t="str">
        <f t="shared" si="17"/>
        <v/>
      </c>
      <c r="S162" s="12" t="str">
        <f t="shared" ca="1" si="18"/>
        <v/>
      </c>
      <c r="T162" s="12" t="str">
        <f t="shared" ca="1" si="19"/>
        <v/>
      </c>
    </row>
    <row r="163" spans="1:20" ht="18" customHeight="1">
      <c r="A163" s="8"/>
      <c r="B163" s="9"/>
      <c r="C163" s="8"/>
      <c r="D163" s="10"/>
      <c r="E163" s="8"/>
      <c r="F163" s="8"/>
      <c r="G163" s="10"/>
      <c r="H163" s="10"/>
      <c r="I163" s="8"/>
      <c r="J163" s="8"/>
      <c r="K163" s="8"/>
      <c r="L163" s="10"/>
      <c r="M163" s="8"/>
      <c r="N163" s="10"/>
      <c r="O163" s="9"/>
      <c r="P163" s="9"/>
      <c r="Q163" s="11" t="str">
        <f t="shared" ca="1" si="16"/>
        <v/>
      </c>
      <c r="R163" s="11" t="str">
        <f t="shared" si="17"/>
        <v/>
      </c>
      <c r="S163" s="12" t="str">
        <f t="shared" ca="1" si="18"/>
        <v/>
      </c>
      <c r="T163" s="12" t="str">
        <f t="shared" ca="1" si="19"/>
        <v/>
      </c>
    </row>
    <row r="164" spans="1:20" ht="18" customHeight="1">
      <c r="A164" s="8"/>
      <c r="B164" s="9"/>
      <c r="C164" s="8"/>
      <c r="D164" s="10"/>
      <c r="E164" s="8"/>
      <c r="F164" s="8"/>
      <c r="G164" s="10"/>
      <c r="H164" s="10"/>
      <c r="I164" s="8"/>
      <c r="J164" s="8"/>
      <c r="K164" s="8"/>
      <c r="L164" s="10"/>
      <c r="M164" s="8"/>
      <c r="N164" s="10"/>
      <c r="O164" s="9"/>
      <c r="P164" s="9"/>
      <c r="Q164" s="11" t="str">
        <f t="shared" ca="1" si="16"/>
        <v/>
      </c>
      <c r="R164" s="11" t="str">
        <f t="shared" si="17"/>
        <v/>
      </c>
      <c r="S164" s="12" t="str">
        <f t="shared" ca="1" si="18"/>
        <v/>
      </c>
      <c r="T164" s="12" t="str">
        <f t="shared" ca="1" si="19"/>
        <v/>
      </c>
    </row>
    <row r="165" spans="1:20" ht="18" customHeight="1">
      <c r="A165" s="8"/>
      <c r="B165" s="9"/>
      <c r="C165" s="8"/>
      <c r="D165" s="10"/>
      <c r="E165" s="8"/>
      <c r="F165" s="8"/>
      <c r="G165" s="10"/>
      <c r="H165" s="10"/>
      <c r="I165" s="8"/>
      <c r="J165" s="8"/>
      <c r="K165" s="8"/>
      <c r="L165" s="10"/>
      <c r="M165" s="8"/>
      <c r="N165" s="10"/>
      <c r="O165" s="9"/>
      <c r="P165" s="9"/>
      <c r="Q165" s="11" t="str">
        <f t="shared" ref="Q165:Q196" ca="1" si="20">IF(B165="","",IF(P165&lt;&gt;"",P165-B165,TODAY()-B165))</f>
        <v/>
      </c>
      <c r="R165" s="11" t="str">
        <f t="shared" ref="R165:R196" si="21">IF(I165="","",INDEX(SLA_Days,MATCH(I165,Priority_List,0)))</f>
        <v/>
      </c>
      <c r="S165" s="12" t="str">
        <f t="shared" ref="S165:S196" ca="1" si="22">IF(OR(Q165="",R165=""),"",IF(P165&lt;&gt;"",IF(Q165&lt;=R165,"Met","Breached"),IF(Q165&gt;R165,"Breached - Still Open","On Track")))</f>
        <v/>
      </c>
      <c r="T165" s="12" t="str">
        <f t="shared" ref="T165:T196" ca="1" si="23">IF(C165="","",IF(OR(J165="Resolved",J165="Closed"),"Done",IF(O165="","No follow-up set",IF(O165&lt;TODAY(),"OVERDUE",IF(O165=TODAY(),"Due Today","Upcoming")))))</f>
        <v/>
      </c>
    </row>
    <row r="166" spans="1:20" ht="18" customHeight="1">
      <c r="A166" s="8"/>
      <c r="B166" s="9"/>
      <c r="C166" s="8"/>
      <c r="D166" s="10"/>
      <c r="E166" s="8"/>
      <c r="F166" s="8"/>
      <c r="G166" s="10"/>
      <c r="H166" s="10"/>
      <c r="I166" s="8"/>
      <c r="J166" s="8"/>
      <c r="K166" s="8"/>
      <c r="L166" s="10"/>
      <c r="M166" s="8"/>
      <c r="N166" s="10"/>
      <c r="O166" s="9"/>
      <c r="P166" s="9"/>
      <c r="Q166" s="11" t="str">
        <f t="shared" ca="1" si="20"/>
        <v/>
      </c>
      <c r="R166" s="11" t="str">
        <f t="shared" si="21"/>
        <v/>
      </c>
      <c r="S166" s="12" t="str">
        <f t="shared" ca="1" si="22"/>
        <v/>
      </c>
      <c r="T166" s="12" t="str">
        <f t="shared" ca="1" si="23"/>
        <v/>
      </c>
    </row>
    <row r="167" spans="1:20" ht="18" customHeight="1">
      <c r="A167" s="8"/>
      <c r="B167" s="9"/>
      <c r="C167" s="8"/>
      <c r="D167" s="10"/>
      <c r="E167" s="8"/>
      <c r="F167" s="8"/>
      <c r="G167" s="10"/>
      <c r="H167" s="10"/>
      <c r="I167" s="8"/>
      <c r="J167" s="8"/>
      <c r="K167" s="8"/>
      <c r="L167" s="10"/>
      <c r="M167" s="8"/>
      <c r="N167" s="10"/>
      <c r="O167" s="9"/>
      <c r="P167" s="9"/>
      <c r="Q167" s="11" t="str">
        <f t="shared" ca="1" si="20"/>
        <v/>
      </c>
      <c r="R167" s="11" t="str">
        <f t="shared" si="21"/>
        <v/>
      </c>
      <c r="S167" s="12" t="str">
        <f t="shared" ca="1" si="22"/>
        <v/>
      </c>
      <c r="T167" s="12" t="str">
        <f t="shared" ca="1" si="23"/>
        <v/>
      </c>
    </row>
    <row r="168" spans="1:20" ht="18" customHeight="1">
      <c r="A168" s="8"/>
      <c r="B168" s="9"/>
      <c r="C168" s="8"/>
      <c r="D168" s="10"/>
      <c r="E168" s="8"/>
      <c r="F168" s="8"/>
      <c r="G168" s="10"/>
      <c r="H168" s="10"/>
      <c r="I168" s="8"/>
      <c r="J168" s="8"/>
      <c r="K168" s="8"/>
      <c r="L168" s="10"/>
      <c r="M168" s="8"/>
      <c r="N168" s="10"/>
      <c r="O168" s="9"/>
      <c r="P168" s="9"/>
      <c r="Q168" s="11" t="str">
        <f t="shared" ca="1" si="20"/>
        <v/>
      </c>
      <c r="R168" s="11" t="str">
        <f t="shared" si="21"/>
        <v/>
      </c>
      <c r="S168" s="12" t="str">
        <f t="shared" ca="1" si="22"/>
        <v/>
      </c>
      <c r="T168" s="12" t="str">
        <f t="shared" ca="1" si="23"/>
        <v/>
      </c>
    </row>
    <row r="169" spans="1:20" ht="18" customHeight="1">
      <c r="A169" s="8"/>
      <c r="B169" s="9"/>
      <c r="C169" s="8"/>
      <c r="D169" s="10"/>
      <c r="E169" s="8"/>
      <c r="F169" s="8"/>
      <c r="G169" s="10"/>
      <c r="H169" s="10"/>
      <c r="I169" s="8"/>
      <c r="J169" s="8"/>
      <c r="K169" s="8"/>
      <c r="L169" s="10"/>
      <c r="M169" s="8"/>
      <c r="N169" s="10"/>
      <c r="O169" s="9"/>
      <c r="P169" s="9"/>
      <c r="Q169" s="11" t="str">
        <f t="shared" ca="1" si="20"/>
        <v/>
      </c>
      <c r="R169" s="11" t="str">
        <f t="shared" si="21"/>
        <v/>
      </c>
      <c r="S169" s="12" t="str">
        <f t="shared" ca="1" si="22"/>
        <v/>
      </c>
      <c r="T169" s="12" t="str">
        <f t="shared" ca="1" si="23"/>
        <v/>
      </c>
    </row>
    <row r="170" spans="1:20" ht="18" customHeight="1">
      <c r="A170" s="8"/>
      <c r="B170" s="9"/>
      <c r="C170" s="8"/>
      <c r="D170" s="10"/>
      <c r="E170" s="8"/>
      <c r="F170" s="8"/>
      <c r="G170" s="10"/>
      <c r="H170" s="10"/>
      <c r="I170" s="8"/>
      <c r="J170" s="8"/>
      <c r="K170" s="8"/>
      <c r="L170" s="10"/>
      <c r="M170" s="8"/>
      <c r="N170" s="10"/>
      <c r="O170" s="9"/>
      <c r="P170" s="9"/>
      <c r="Q170" s="11" t="str">
        <f t="shared" ca="1" si="20"/>
        <v/>
      </c>
      <c r="R170" s="11" t="str">
        <f t="shared" si="21"/>
        <v/>
      </c>
      <c r="S170" s="12" t="str">
        <f t="shared" ca="1" si="22"/>
        <v/>
      </c>
      <c r="T170" s="12" t="str">
        <f t="shared" ca="1" si="23"/>
        <v/>
      </c>
    </row>
    <row r="171" spans="1:20" ht="18" customHeight="1">
      <c r="A171" s="8"/>
      <c r="B171" s="9"/>
      <c r="C171" s="8"/>
      <c r="D171" s="10"/>
      <c r="E171" s="8"/>
      <c r="F171" s="8"/>
      <c r="G171" s="10"/>
      <c r="H171" s="10"/>
      <c r="I171" s="8"/>
      <c r="J171" s="8"/>
      <c r="K171" s="8"/>
      <c r="L171" s="10"/>
      <c r="M171" s="8"/>
      <c r="N171" s="10"/>
      <c r="O171" s="9"/>
      <c r="P171" s="9"/>
      <c r="Q171" s="11" t="str">
        <f t="shared" ca="1" si="20"/>
        <v/>
      </c>
      <c r="R171" s="11" t="str">
        <f t="shared" si="21"/>
        <v/>
      </c>
      <c r="S171" s="12" t="str">
        <f t="shared" ca="1" si="22"/>
        <v/>
      </c>
      <c r="T171" s="12" t="str">
        <f t="shared" ca="1" si="23"/>
        <v/>
      </c>
    </row>
    <row r="172" spans="1:20" ht="18" customHeight="1">
      <c r="A172" s="8"/>
      <c r="B172" s="9"/>
      <c r="C172" s="8"/>
      <c r="D172" s="10"/>
      <c r="E172" s="8"/>
      <c r="F172" s="8"/>
      <c r="G172" s="10"/>
      <c r="H172" s="10"/>
      <c r="I172" s="8"/>
      <c r="J172" s="8"/>
      <c r="K172" s="8"/>
      <c r="L172" s="10"/>
      <c r="M172" s="8"/>
      <c r="N172" s="10"/>
      <c r="O172" s="9"/>
      <c r="P172" s="9"/>
      <c r="Q172" s="11" t="str">
        <f t="shared" ca="1" si="20"/>
        <v/>
      </c>
      <c r="R172" s="11" t="str">
        <f t="shared" si="21"/>
        <v/>
      </c>
      <c r="S172" s="12" t="str">
        <f t="shared" ca="1" si="22"/>
        <v/>
      </c>
      <c r="T172" s="12" t="str">
        <f t="shared" ca="1" si="23"/>
        <v/>
      </c>
    </row>
    <row r="173" spans="1:20" ht="18" customHeight="1">
      <c r="A173" s="8"/>
      <c r="B173" s="9"/>
      <c r="C173" s="8"/>
      <c r="D173" s="10"/>
      <c r="E173" s="8"/>
      <c r="F173" s="8"/>
      <c r="G173" s="10"/>
      <c r="H173" s="10"/>
      <c r="I173" s="8"/>
      <c r="J173" s="8"/>
      <c r="K173" s="8"/>
      <c r="L173" s="10"/>
      <c r="M173" s="8"/>
      <c r="N173" s="10"/>
      <c r="O173" s="9"/>
      <c r="P173" s="9"/>
      <c r="Q173" s="11" t="str">
        <f t="shared" ca="1" si="20"/>
        <v/>
      </c>
      <c r="R173" s="11" t="str">
        <f t="shared" si="21"/>
        <v/>
      </c>
      <c r="S173" s="12" t="str">
        <f t="shared" ca="1" si="22"/>
        <v/>
      </c>
      <c r="T173" s="12" t="str">
        <f t="shared" ca="1" si="23"/>
        <v/>
      </c>
    </row>
    <row r="174" spans="1:20" ht="18" customHeight="1">
      <c r="A174" s="8"/>
      <c r="B174" s="9"/>
      <c r="C174" s="8"/>
      <c r="D174" s="10"/>
      <c r="E174" s="8"/>
      <c r="F174" s="8"/>
      <c r="G174" s="10"/>
      <c r="H174" s="10"/>
      <c r="I174" s="8"/>
      <c r="J174" s="8"/>
      <c r="K174" s="8"/>
      <c r="L174" s="10"/>
      <c r="M174" s="8"/>
      <c r="N174" s="10"/>
      <c r="O174" s="9"/>
      <c r="P174" s="9"/>
      <c r="Q174" s="11" t="str">
        <f t="shared" ca="1" si="20"/>
        <v/>
      </c>
      <c r="R174" s="11" t="str">
        <f t="shared" si="21"/>
        <v/>
      </c>
      <c r="S174" s="12" t="str">
        <f t="shared" ca="1" si="22"/>
        <v/>
      </c>
      <c r="T174" s="12" t="str">
        <f t="shared" ca="1" si="23"/>
        <v/>
      </c>
    </row>
    <row r="175" spans="1:20" ht="18" customHeight="1">
      <c r="A175" s="8"/>
      <c r="B175" s="9"/>
      <c r="C175" s="8"/>
      <c r="D175" s="10"/>
      <c r="E175" s="8"/>
      <c r="F175" s="8"/>
      <c r="G175" s="10"/>
      <c r="H175" s="10"/>
      <c r="I175" s="8"/>
      <c r="J175" s="8"/>
      <c r="K175" s="8"/>
      <c r="L175" s="10"/>
      <c r="M175" s="8"/>
      <c r="N175" s="10"/>
      <c r="O175" s="9"/>
      <c r="P175" s="9"/>
      <c r="Q175" s="11" t="str">
        <f t="shared" ca="1" si="20"/>
        <v/>
      </c>
      <c r="R175" s="11" t="str">
        <f t="shared" si="21"/>
        <v/>
      </c>
      <c r="S175" s="12" t="str">
        <f t="shared" ca="1" si="22"/>
        <v/>
      </c>
      <c r="T175" s="12" t="str">
        <f t="shared" ca="1" si="23"/>
        <v/>
      </c>
    </row>
    <row r="176" spans="1:20" ht="18" customHeight="1">
      <c r="A176" s="8"/>
      <c r="B176" s="9"/>
      <c r="C176" s="8"/>
      <c r="D176" s="10"/>
      <c r="E176" s="8"/>
      <c r="F176" s="8"/>
      <c r="G176" s="10"/>
      <c r="H176" s="10"/>
      <c r="I176" s="8"/>
      <c r="J176" s="8"/>
      <c r="K176" s="8"/>
      <c r="L176" s="10"/>
      <c r="M176" s="8"/>
      <c r="N176" s="10"/>
      <c r="O176" s="9"/>
      <c r="P176" s="9"/>
      <c r="Q176" s="11" t="str">
        <f t="shared" ca="1" si="20"/>
        <v/>
      </c>
      <c r="R176" s="11" t="str">
        <f t="shared" si="21"/>
        <v/>
      </c>
      <c r="S176" s="12" t="str">
        <f t="shared" ca="1" si="22"/>
        <v/>
      </c>
      <c r="T176" s="12" t="str">
        <f t="shared" ca="1" si="23"/>
        <v/>
      </c>
    </row>
    <row r="177" spans="1:20" ht="18" customHeight="1">
      <c r="A177" s="8"/>
      <c r="B177" s="9"/>
      <c r="C177" s="8"/>
      <c r="D177" s="10"/>
      <c r="E177" s="8"/>
      <c r="F177" s="8"/>
      <c r="G177" s="10"/>
      <c r="H177" s="10"/>
      <c r="I177" s="8"/>
      <c r="J177" s="8"/>
      <c r="K177" s="8"/>
      <c r="L177" s="10"/>
      <c r="M177" s="8"/>
      <c r="N177" s="10"/>
      <c r="O177" s="9"/>
      <c r="P177" s="9"/>
      <c r="Q177" s="11" t="str">
        <f t="shared" ca="1" si="20"/>
        <v/>
      </c>
      <c r="R177" s="11" t="str">
        <f t="shared" si="21"/>
        <v/>
      </c>
      <c r="S177" s="12" t="str">
        <f t="shared" ca="1" si="22"/>
        <v/>
      </c>
      <c r="T177" s="12" t="str">
        <f t="shared" ca="1" si="23"/>
        <v/>
      </c>
    </row>
    <row r="178" spans="1:20" ht="18" customHeight="1">
      <c r="A178" s="8"/>
      <c r="B178" s="9"/>
      <c r="C178" s="8"/>
      <c r="D178" s="10"/>
      <c r="E178" s="8"/>
      <c r="F178" s="8"/>
      <c r="G178" s="10"/>
      <c r="H178" s="10"/>
      <c r="I178" s="8"/>
      <c r="J178" s="8"/>
      <c r="K178" s="8"/>
      <c r="L178" s="10"/>
      <c r="M178" s="8"/>
      <c r="N178" s="10"/>
      <c r="O178" s="9"/>
      <c r="P178" s="9"/>
      <c r="Q178" s="11" t="str">
        <f t="shared" ca="1" si="20"/>
        <v/>
      </c>
      <c r="R178" s="11" t="str">
        <f t="shared" si="21"/>
        <v/>
      </c>
      <c r="S178" s="12" t="str">
        <f t="shared" ca="1" si="22"/>
        <v/>
      </c>
      <c r="T178" s="12" t="str">
        <f t="shared" ca="1" si="23"/>
        <v/>
      </c>
    </row>
    <row r="179" spans="1:20" ht="18" customHeight="1">
      <c r="A179" s="8"/>
      <c r="B179" s="9"/>
      <c r="C179" s="8"/>
      <c r="D179" s="10"/>
      <c r="E179" s="8"/>
      <c r="F179" s="8"/>
      <c r="G179" s="10"/>
      <c r="H179" s="10"/>
      <c r="I179" s="8"/>
      <c r="J179" s="8"/>
      <c r="K179" s="8"/>
      <c r="L179" s="10"/>
      <c r="M179" s="8"/>
      <c r="N179" s="10"/>
      <c r="O179" s="9"/>
      <c r="P179" s="9"/>
      <c r="Q179" s="11" t="str">
        <f t="shared" ca="1" si="20"/>
        <v/>
      </c>
      <c r="R179" s="11" t="str">
        <f t="shared" si="21"/>
        <v/>
      </c>
      <c r="S179" s="12" t="str">
        <f t="shared" ca="1" si="22"/>
        <v/>
      </c>
      <c r="T179" s="12" t="str">
        <f t="shared" ca="1" si="23"/>
        <v/>
      </c>
    </row>
    <row r="180" spans="1:20" ht="18" customHeight="1">
      <c r="A180" s="8"/>
      <c r="B180" s="9"/>
      <c r="C180" s="8"/>
      <c r="D180" s="10"/>
      <c r="E180" s="8"/>
      <c r="F180" s="8"/>
      <c r="G180" s="10"/>
      <c r="H180" s="10"/>
      <c r="I180" s="8"/>
      <c r="J180" s="8"/>
      <c r="K180" s="8"/>
      <c r="L180" s="10"/>
      <c r="M180" s="8"/>
      <c r="N180" s="10"/>
      <c r="O180" s="9"/>
      <c r="P180" s="9"/>
      <c r="Q180" s="11" t="str">
        <f t="shared" ca="1" si="20"/>
        <v/>
      </c>
      <c r="R180" s="11" t="str">
        <f t="shared" si="21"/>
        <v/>
      </c>
      <c r="S180" s="12" t="str">
        <f t="shared" ca="1" si="22"/>
        <v/>
      </c>
      <c r="T180" s="12" t="str">
        <f t="shared" ca="1" si="23"/>
        <v/>
      </c>
    </row>
    <row r="181" spans="1:20" ht="18" customHeight="1">
      <c r="A181" s="8"/>
      <c r="B181" s="9"/>
      <c r="C181" s="8"/>
      <c r="D181" s="10"/>
      <c r="E181" s="8"/>
      <c r="F181" s="8"/>
      <c r="G181" s="10"/>
      <c r="H181" s="10"/>
      <c r="I181" s="8"/>
      <c r="J181" s="8"/>
      <c r="K181" s="8"/>
      <c r="L181" s="10"/>
      <c r="M181" s="8"/>
      <c r="N181" s="10"/>
      <c r="O181" s="9"/>
      <c r="P181" s="9"/>
      <c r="Q181" s="11" t="str">
        <f t="shared" ca="1" si="20"/>
        <v/>
      </c>
      <c r="R181" s="11" t="str">
        <f t="shared" si="21"/>
        <v/>
      </c>
      <c r="S181" s="12" t="str">
        <f t="shared" ca="1" si="22"/>
        <v/>
      </c>
      <c r="T181" s="12" t="str">
        <f t="shared" ca="1" si="23"/>
        <v/>
      </c>
    </row>
    <row r="182" spans="1:20" ht="18" customHeight="1">
      <c r="A182" s="8"/>
      <c r="B182" s="9"/>
      <c r="C182" s="8"/>
      <c r="D182" s="10"/>
      <c r="E182" s="8"/>
      <c r="F182" s="8"/>
      <c r="G182" s="10"/>
      <c r="H182" s="10"/>
      <c r="I182" s="8"/>
      <c r="J182" s="8"/>
      <c r="K182" s="8"/>
      <c r="L182" s="10"/>
      <c r="M182" s="8"/>
      <c r="N182" s="10"/>
      <c r="O182" s="9"/>
      <c r="P182" s="9"/>
      <c r="Q182" s="11" t="str">
        <f t="shared" ca="1" si="20"/>
        <v/>
      </c>
      <c r="R182" s="11" t="str">
        <f t="shared" si="21"/>
        <v/>
      </c>
      <c r="S182" s="12" t="str">
        <f t="shared" ca="1" si="22"/>
        <v/>
      </c>
      <c r="T182" s="12" t="str">
        <f t="shared" ca="1" si="23"/>
        <v/>
      </c>
    </row>
    <row r="183" spans="1:20" ht="18" customHeight="1">
      <c r="A183" s="8"/>
      <c r="B183" s="9"/>
      <c r="C183" s="8"/>
      <c r="D183" s="10"/>
      <c r="E183" s="8"/>
      <c r="F183" s="8"/>
      <c r="G183" s="10"/>
      <c r="H183" s="10"/>
      <c r="I183" s="8"/>
      <c r="J183" s="8"/>
      <c r="K183" s="8"/>
      <c r="L183" s="10"/>
      <c r="M183" s="8"/>
      <c r="N183" s="10"/>
      <c r="O183" s="9"/>
      <c r="P183" s="9"/>
      <c r="Q183" s="11" t="str">
        <f t="shared" ca="1" si="20"/>
        <v/>
      </c>
      <c r="R183" s="11" t="str">
        <f t="shared" si="21"/>
        <v/>
      </c>
      <c r="S183" s="12" t="str">
        <f t="shared" ca="1" si="22"/>
        <v/>
      </c>
      <c r="T183" s="12" t="str">
        <f t="shared" ca="1" si="23"/>
        <v/>
      </c>
    </row>
    <row r="184" spans="1:20" ht="18" customHeight="1">
      <c r="A184" s="8"/>
      <c r="B184" s="9"/>
      <c r="C184" s="8"/>
      <c r="D184" s="10"/>
      <c r="E184" s="8"/>
      <c r="F184" s="8"/>
      <c r="G184" s="10"/>
      <c r="H184" s="10"/>
      <c r="I184" s="8"/>
      <c r="J184" s="8"/>
      <c r="K184" s="8"/>
      <c r="L184" s="10"/>
      <c r="M184" s="8"/>
      <c r="N184" s="10"/>
      <c r="O184" s="9"/>
      <c r="P184" s="9"/>
      <c r="Q184" s="11" t="str">
        <f t="shared" ca="1" si="20"/>
        <v/>
      </c>
      <c r="R184" s="11" t="str">
        <f t="shared" si="21"/>
        <v/>
      </c>
      <c r="S184" s="12" t="str">
        <f t="shared" ca="1" si="22"/>
        <v/>
      </c>
      <c r="T184" s="12" t="str">
        <f t="shared" ca="1" si="23"/>
        <v/>
      </c>
    </row>
    <row r="185" spans="1:20" ht="18" customHeight="1">
      <c r="A185" s="8"/>
      <c r="B185" s="9"/>
      <c r="C185" s="8"/>
      <c r="D185" s="10"/>
      <c r="E185" s="8"/>
      <c r="F185" s="8"/>
      <c r="G185" s="10"/>
      <c r="H185" s="10"/>
      <c r="I185" s="8"/>
      <c r="J185" s="8"/>
      <c r="K185" s="8"/>
      <c r="L185" s="10"/>
      <c r="M185" s="8"/>
      <c r="N185" s="10"/>
      <c r="O185" s="9"/>
      <c r="P185" s="9"/>
      <c r="Q185" s="11" t="str">
        <f t="shared" ca="1" si="20"/>
        <v/>
      </c>
      <c r="R185" s="11" t="str">
        <f t="shared" si="21"/>
        <v/>
      </c>
      <c r="S185" s="12" t="str">
        <f t="shared" ca="1" si="22"/>
        <v/>
      </c>
      <c r="T185" s="12" t="str">
        <f t="shared" ca="1" si="23"/>
        <v/>
      </c>
    </row>
    <row r="186" spans="1:20" ht="18" customHeight="1">
      <c r="A186" s="8"/>
      <c r="B186" s="9"/>
      <c r="C186" s="8"/>
      <c r="D186" s="10"/>
      <c r="E186" s="8"/>
      <c r="F186" s="8"/>
      <c r="G186" s="10"/>
      <c r="H186" s="10"/>
      <c r="I186" s="8"/>
      <c r="J186" s="8"/>
      <c r="K186" s="8"/>
      <c r="L186" s="10"/>
      <c r="M186" s="8"/>
      <c r="N186" s="10"/>
      <c r="O186" s="9"/>
      <c r="P186" s="9"/>
      <c r="Q186" s="11" t="str">
        <f t="shared" ca="1" si="20"/>
        <v/>
      </c>
      <c r="R186" s="11" t="str">
        <f t="shared" si="21"/>
        <v/>
      </c>
      <c r="S186" s="12" t="str">
        <f t="shared" ca="1" si="22"/>
        <v/>
      </c>
      <c r="T186" s="12" t="str">
        <f t="shared" ca="1" si="23"/>
        <v/>
      </c>
    </row>
    <row r="187" spans="1:20" ht="18" customHeight="1">
      <c r="A187" s="8"/>
      <c r="B187" s="9"/>
      <c r="C187" s="8"/>
      <c r="D187" s="10"/>
      <c r="E187" s="8"/>
      <c r="F187" s="8"/>
      <c r="G187" s="10"/>
      <c r="H187" s="10"/>
      <c r="I187" s="8"/>
      <c r="J187" s="8"/>
      <c r="K187" s="8"/>
      <c r="L187" s="10"/>
      <c r="M187" s="8"/>
      <c r="N187" s="10"/>
      <c r="O187" s="9"/>
      <c r="P187" s="9"/>
      <c r="Q187" s="11" t="str">
        <f t="shared" ca="1" si="20"/>
        <v/>
      </c>
      <c r="R187" s="11" t="str">
        <f t="shared" si="21"/>
        <v/>
      </c>
      <c r="S187" s="12" t="str">
        <f t="shared" ca="1" si="22"/>
        <v/>
      </c>
      <c r="T187" s="12" t="str">
        <f t="shared" ca="1" si="23"/>
        <v/>
      </c>
    </row>
    <row r="188" spans="1:20" ht="18" customHeight="1">
      <c r="A188" s="8"/>
      <c r="B188" s="9"/>
      <c r="C188" s="8"/>
      <c r="D188" s="10"/>
      <c r="E188" s="8"/>
      <c r="F188" s="8"/>
      <c r="G188" s="10"/>
      <c r="H188" s="10"/>
      <c r="I188" s="8"/>
      <c r="J188" s="8"/>
      <c r="K188" s="8"/>
      <c r="L188" s="10"/>
      <c r="M188" s="8"/>
      <c r="N188" s="10"/>
      <c r="O188" s="9"/>
      <c r="P188" s="9"/>
      <c r="Q188" s="11" t="str">
        <f t="shared" ca="1" si="20"/>
        <v/>
      </c>
      <c r="R188" s="11" t="str">
        <f t="shared" si="21"/>
        <v/>
      </c>
      <c r="S188" s="12" t="str">
        <f t="shared" ca="1" si="22"/>
        <v/>
      </c>
      <c r="T188" s="12" t="str">
        <f t="shared" ca="1" si="23"/>
        <v/>
      </c>
    </row>
    <row r="189" spans="1:20" ht="18" customHeight="1">
      <c r="A189" s="8"/>
      <c r="B189" s="9"/>
      <c r="C189" s="8"/>
      <c r="D189" s="10"/>
      <c r="E189" s="8"/>
      <c r="F189" s="8"/>
      <c r="G189" s="10"/>
      <c r="H189" s="10"/>
      <c r="I189" s="8"/>
      <c r="J189" s="8"/>
      <c r="K189" s="8"/>
      <c r="L189" s="10"/>
      <c r="M189" s="8"/>
      <c r="N189" s="10"/>
      <c r="O189" s="9"/>
      <c r="P189" s="9"/>
      <c r="Q189" s="11" t="str">
        <f t="shared" ca="1" si="20"/>
        <v/>
      </c>
      <c r="R189" s="11" t="str">
        <f t="shared" si="21"/>
        <v/>
      </c>
      <c r="S189" s="12" t="str">
        <f t="shared" ca="1" si="22"/>
        <v/>
      </c>
      <c r="T189" s="12" t="str">
        <f t="shared" ca="1" si="23"/>
        <v/>
      </c>
    </row>
    <row r="190" spans="1:20" ht="18" customHeight="1">
      <c r="A190" s="8"/>
      <c r="B190" s="9"/>
      <c r="C190" s="8"/>
      <c r="D190" s="10"/>
      <c r="E190" s="8"/>
      <c r="F190" s="8"/>
      <c r="G190" s="10"/>
      <c r="H190" s="10"/>
      <c r="I190" s="8"/>
      <c r="J190" s="8"/>
      <c r="K190" s="8"/>
      <c r="L190" s="10"/>
      <c r="M190" s="8"/>
      <c r="N190" s="10"/>
      <c r="O190" s="9"/>
      <c r="P190" s="9"/>
      <c r="Q190" s="11" t="str">
        <f t="shared" ca="1" si="20"/>
        <v/>
      </c>
      <c r="R190" s="11" t="str">
        <f t="shared" si="21"/>
        <v/>
      </c>
      <c r="S190" s="12" t="str">
        <f t="shared" ca="1" si="22"/>
        <v/>
      </c>
      <c r="T190" s="12" t="str">
        <f t="shared" ca="1" si="23"/>
        <v/>
      </c>
    </row>
    <row r="191" spans="1:20" ht="18" customHeight="1">
      <c r="A191" s="8"/>
      <c r="B191" s="9"/>
      <c r="C191" s="8"/>
      <c r="D191" s="10"/>
      <c r="E191" s="8"/>
      <c r="F191" s="8"/>
      <c r="G191" s="10"/>
      <c r="H191" s="10"/>
      <c r="I191" s="8"/>
      <c r="J191" s="8"/>
      <c r="K191" s="8"/>
      <c r="L191" s="10"/>
      <c r="M191" s="8"/>
      <c r="N191" s="10"/>
      <c r="O191" s="9"/>
      <c r="P191" s="9"/>
      <c r="Q191" s="11" t="str">
        <f t="shared" ca="1" si="20"/>
        <v/>
      </c>
      <c r="R191" s="11" t="str">
        <f t="shared" si="21"/>
        <v/>
      </c>
      <c r="S191" s="12" t="str">
        <f t="shared" ca="1" si="22"/>
        <v/>
      </c>
      <c r="T191" s="12" t="str">
        <f t="shared" ca="1" si="23"/>
        <v/>
      </c>
    </row>
    <row r="192" spans="1:20" ht="18" customHeight="1">
      <c r="A192" s="8"/>
      <c r="B192" s="9"/>
      <c r="C192" s="8"/>
      <c r="D192" s="10"/>
      <c r="E192" s="8"/>
      <c r="F192" s="8"/>
      <c r="G192" s="10"/>
      <c r="H192" s="10"/>
      <c r="I192" s="8"/>
      <c r="J192" s="8"/>
      <c r="K192" s="8"/>
      <c r="L192" s="10"/>
      <c r="M192" s="8"/>
      <c r="N192" s="10"/>
      <c r="O192" s="9"/>
      <c r="P192" s="9"/>
      <c r="Q192" s="11" t="str">
        <f t="shared" ca="1" si="20"/>
        <v/>
      </c>
      <c r="R192" s="11" t="str">
        <f t="shared" si="21"/>
        <v/>
      </c>
      <c r="S192" s="12" t="str">
        <f t="shared" ca="1" si="22"/>
        <v/>
      </c>
      <c r="T192" s="12" t="str">
        <f t="shared" ca="1" si="23"/>
        <v/>
      </c>
    </row>
    <row r="193" spans="1:20" ht="18" customHeight="1">
      <c r="A193" s="8"/>
      <c r="B193" s="9"/>
      <c r="C193" s="8"/>
      <c r="D193" s="10"/>
      <c r="E193" s="8"/>
      <c r="F193" s="8"/>
      <c r="G193" s="10"/>
      <c r="H193" s="10"/>
      <c r="I193" s="8"/>
      <c r="J193" s="8"/>
      <c r="K193" s="8"/>
      <c r="L193" s="10"/>
      <c r="M193" s="8"/>
      <c r="N193" s="10"/>
      <c r="O193" s="9"/>
      <c r="P193" s="9"/>
      <c r="Q193" s="11" t="str">
        <f t="shared" ca="1" si="20"/>
        <v/>
      </c>
      <c r="R193" s="11" t="str">
        <f t="shared" si="21"/>
        <v/>
      </c>
      <c r="S193" s="12" t="str">
        <f t="shared" ca="1" si="22"/>
        <v/>
      </c>
      <c r="T193" s="12" t="str">
        <f t="shared" ca="1" si="23"/>
        <v/>
      </c>
    </row>
    <row r="194" spans="1:20" ht="18" customHeight="1">
      <c r="A194" s="8"/>
      <c r="B194" s="9"/>
      <c r="C194" s="8"/>
      <c r="D194" s="10"/>
      <c r="E194" s="8"/>
      <c r="F194" s="8"/>
      <c r="G194" s="10"/>
      <c r="H194" s="10"/>
      <c r="I194" s="8"/>
      <c r="J194" s="8"/>
      <c r="K194" s="8"/>
      <c r="L194" s="10"/>
      <c r="M194" s="8"/>
      <c r="N194" s="10"/>
      <c r="O194" s="9"/>
      <c r="P194" s="9"/>
      <c r="Q194" s="11" t="str">
        <f t="shared" ca="1" si="20"/>
        <v/>
      </c>
      <c r="R194" s="11" t="str">
        <f t="shared" si="21"/>
        <v/>
      </c>
      <c r="S194" s="12" t="str">
        <f t="shared" ca="1" si="22"/>
        <v/>
      </c>
      <c r="T194" s="12" t="str">
        <f t="shared" ca="1" si="23"/>
        <v/>
      </c>
    </row>
    <row r="195" spans="1:20" ht="18" customHeight="1">
      <c r="A195" s="8"/>
      <c r="B195" s="9"/>
      <c r="C195" s="8"/>
      <c r="D195" s="10"/>
      <c r="E195" s="8"/>
      <c r="F195" s="8"/>
      <c r="G195" s="10"/>
      <c r="H195" s="10"/>
      <c r="I195" s="8"/>
      <c r="J195" s="8"/>
      <c r="K195" s="8"/>
      <c r="L195" s="10"/>
      <c r="M195" s="8"/>
      <c r="N195" s="10"/>
      <c r="O195" s="9"/>
      <c r="P195" s="9"/>
      <c r="Q195" s="11" t="str">
        <f t="shared" ca="1" si="20"/>
        <v/>
      </c>
      <c r="R195" s="11" t="str">
        <f t="shared" si="21"/>
        <v/>
      </c>
      <c r="S195" s="12" t="str">
        <f t="shared" ca="1" si="22"/>
        <v/>
      </c>
      <c r="T195" s="12" t="str">
        <f t="shared" ca="1" si="23"/>
        <v/>
      </c>
    </row>
    <row r="196" spans="1:20" ht="18" customHeight="1">
      <c r="A196" s="8"/>
      <c r="B196" s="9"/>
      <c r="C196" s="8"/>
      <c r="D196" s="10"/>
      <c r="E196" s="8"/>
      <c r="F196" s="8"/>
      <c r="G196" s="10"/>
      <c r="H196" s="10"/>
      <c r="I196" s="8"/>
      <c r="J196" s="8"/>
      <c r="K196" s="8"/>
      <c r="L196" s="10"/>
      <c r="M196" s="8"/>
      <c r="N196" s="10"/>
      <c r="O196" s="9"/>
      <c r="P196" s="9"/>
      <c r="Q196" s="11" t="str">
        <f t="shared" ca="1" si="20"/>
        <v/>
      </c>
      <c r="R196" s="11" t="str">
        <f t="shared" si="21"/>
        <v/>
      </c>
      <c r="S196" s="12" t="str">
        <f t="shared" ca="1" si="22"/>
        <v/>
      </c>
      <c r="T196" s="12" t="str">
        <f t="shared" ca="1" si="23"/>
        <v/>
      </c>
    </row>
    <row r="197" spans="1:20" ht="18" customHeight="1">
      <c r="A197" s="8"/>
      <c r="B197" s="9"/>
      <c r="C197" s="8"/>
      <c r="D197" s="10"/>
      <c r="E197" s="8"/>
      <c r="F197" s="8"/>
      <c r="G197" s="10"/>
      <c r="H197" s="10"/>
      <c r="I197" s="8"/>
      <c r="J197" s="8"/>
      <c r="K197" s="8"/>
      <c r="L197" s="10"/>
      <c r="M197" s="8"/>
      <c r="N197" s="10"/>
      <c r="O197" s="9"/>
      <c r="P197" s="9"/>
      <c r="Q197" s="11" t="str">
        <f t="shared" ref="Q197:Q228" ca="1" si="24">IF(B197="","",IF(P197&lt;&gt;"",P197-B197,TODAY()-B197))</f>
        <v/>
      </c>
      <c r="R197" s="11" t="str">
        <f t="shared" ref="R197:R204" si="25">IF(I197="","",INDEX(SLA_Days,MATCH(I197,Priority_List,0)))</f>
        <v/>
      </c>
      <c r="S197" s="12" t="str">
        <f t="shared" ref="S197:S228" ca="1" si="26">IF(OR(Q197="",R197=""),"",IF(P197&lt;&gt;"",IF(Q197&lt;=R197,"Met","Breached"),IF(Q197&gt;R197,"Breached - Still Open","On Track")))</f>
        <v/>
      </c>
      <c r="T197" s="12" t="str">
        <f t="shared" ref="T197:T204" ca="1" si="27">IF(C197="","",IF(OR(J197="Resolved",J197="Closed"),"Done",IF(O197="","No follow-up set",IF(O197&lt;TODAY(),"OVERDUE",IF(O197=TODAY(),"Due Today","Upcoming")))))</f>
        <v/>
      </c>
    </row>
    <row r="198" spans="1:20" ht="18" customHeight="1">
      <c r="A198" s="8"/>
      <c r="B198" s="9"/>
      <c r="C198" s="8"/>
      <c r="D198" s="10"/>
      <c r="E198" s="8"/>
      <c r="F198" s="8"/>
      <c r="G198" s="10"/>
      <c r="H198" s="10"/>
      <c r="I198" s="8"/>
      <c r="J198" s="8"/>
      <c r="K198" s="8"/>
      <c r="L198" s="10"/>
      <c r="M198" s="8"/>
      <c r="N198" s="10"/>
      <c r="O198" s="9"/>
      <c r="P198" s="9"/>
      <c r="Q198" s="11" t="str">
        <f t="shared" ca="1" si="24"/>
        <v/>
      </c>
      <c r="R198" s="11" t="str">
        <f t="shared" si="25"/>
        <v/>
      </c>
      <c r="S198" s="12" t="str">
        <f t="shared" ca="1" si="26"/>
        <v/>
      </c>
      <c r="T198" s="12" t="str">
        <f t="shared" ca="1" si="27"/>
        <v/>
      </c>
    </row>
    <row r="199" spans="1:20" ht="18" customHeight="1">
      <c r="A199" s="8"/>
      <c r="B199" s="9"/>
      <c r="C199" s="8"/>
      <c r="D199" s="10"/>
      <c r="E199" s="8"/>
      <c r="F199" s="8"/>
      <c r="G199" s="10"/>
      <c r="H199" s="10"/>
      <c r="I199" s="8"/>
      <c r="J199" s="8"/>
      <c r="K199" s="8"/>
      <c r="L199" s="10"/>
      <c r="M199" s="8"/>
      <c r="N199" s="10"/>
      <c r="O199" s="9"/>
      <c r="P199" s="9"/>
      <c r="Q199" s="11" t="str">
        <f t="shared" ca="1" si="24"/>
        <v/>
      </c>
      <c r="R199" s="11" t="str">
        <f t="shared" si="25"/>
        <v/>
      </c>
      <c r="S199" s="12" t="str">
        <f t="shared" ca="1" si="26"/>
        <v/>
      </c>
      <c r="T199" s="12" t="str">
        <f t="shared" ca="1" si="27"/>
        <v/>
      </c>
    </row>
    <row r="200" spans="1:20" ht="18" customHeight="1">
      <c r="A200" s="8"/>
      <c r="B200" s="9"/>
      <c r="C200" s="8"/>
      <c r="D200" s="10"/>
      <c r="E200" s="8"/>
      <c r="F200" s="8"/>
      <c r="G200" s="10"/>
      <c r="H200" s="10"/>
      <c r="I200" s="8"/>
      <c r="J200" s="8"/>
      <c r="K200" s="8"/>
      <c r="L200" s="10"/>
      <c r="M200" s="8"/>
      <c r="N200" s="10"/>
      <c r="O200" s="9"/>
      <c r="P200" s="9"/>
      <c r="Q200" s="11" t="str">
        <f t="shared" ca="1" si="24"/>
        <v/>
      </c>
      <c r="R200" s="11" t="str">
        <f t="shared" si="25"/>
        <v/>
      </c>
      <c r="S200" s="12" t="str">
        <f t="shared" ca="1" si="26"/>
        <v/>
      </c>
      <c r="T200" s="12" t="str">
        <f t="shared" ca="1" si="27"/>
        <v/>
      </c>
    </row>
    <row r="201" spans="1:20" ht="18" customHeight="1">
      <c r="A201" s="8"/>
      <c r="B201" s="9"/>
      <c r="C201" s="8"/>
      <c r="D201" s="10"/>
      <c r="E201" s="8"/>
      <c r="F201" s="8"/>
      <c r="G201" s="10"/>
      <c r="H201" s="10"/>
      <c r="I201" s="8"/>
      <c r="J201" s="8"/>
      <c r="K201" s="8"/>
      <c r="L201" s="10"/>
      <c r="M201" s="8"/>
      <c r="N201" s="10"/>
      <c r="O201" s="9"/>
      <c r="P201" s="9"/>
      <c r="Q201" s="11" t="str">
        <f t="shared" ca="1" si="24"/>
        <v/>
      </c>
      <c r="R201" s="11" t="str">
        <f t="shared" si="25"/>
        <v/>
      </c>
      <c r="S201" s="12" t="str">
        <f t="shared" ca="1" si="26"/>
        <v/>
      </c>
      <c r="T201" s="12" t="str">
        <f t="shared" ca="1" si="27"/>
        <v/>
      </c>
    </row>
    <row r="202" spans="1:20" ht="18" customHeight="1">
      <c r="A202" s="8"/>
      <c r="B202" s="9"/>
      <c r="C202" s="8"/>
      <c r="D202" s="10"/>
      <c r="E202" s="8"/>
      <c r="F202" s="8"/>
      <c r="G202" s="10"/>
      <c r="H202" s="10"/>
      <c r="I202" s="8"/>
      <c r="J202" s="8"/>
      <c r="K202" s="8"/>
      <c r="L202" s="10"/>
      <c r="M202" s="8"/>
      <c r="N202" s="10"/>
      <c r="O202" s="9"/>
      <c r="P202" s="9"/>
      <c r="Q202" s="11" t="str">
        <f t="shared" ca="1" si="24"/>
        <v/>
      </c>
      <c r="R202" s="11" t="str">
        <f t="shared" si="25"/>
        <v/>
      </c>
      <c r="S202" s="12" t="str">
        <f t="shared" ca="1" si="26"/>
        <v/>
      </c>
      <c r="T202" s="12" t="str">
        <f t="shared" ca="1" si="27"/>
        <v/>
      </c>
    </row>
    <row r="203" spans="1:20" ht="18" customHeight="1">
      <c r="A203" s="8"/>
      <c r="B203" s="9"/>
      <c r="C203" s="8"/>
      <c r="D203" s="10"/>
      <c r="E203" s="8"/>
      <c r="F203" s="8"/>
      <c r="G203" s="10"/>
      <c r="H203" s="10"/>
      <c r="I203" s="8"/>
      <c r="J203" s="8"/>
      <c r="K203" s="8"/>
      <c r="L203" s="10"/>
      <c r="M203" s="8"/>
      <c r="N203" s="10"/>
      <c r="O203" s="9"/>
      <c r="P203" s="9"/>
      <c r="Q203" s="11" t="str">
        <f t="shared" ca="1" si="24"/>
        <v/>
      </c>
      <c r="R203" s="11" t="str">
        <f t="shared" si="25"/>
        <v/>
      </c>
      <c r="S203" s="12" t="str">
        <f t="shared" ca="1" si="26"/>
        <v/>
      </c>
      <c r="T203" s="12" t="str">
        <f t="shared" ca="1" si="27"/>
        <v/>
      </c>
    </row>
    <row r="204" spans="1:20" ht="18" customHeight="1">
      <c r="A204" s="8"/>
      <c r="B204" s="9"/>
      <c r="C204" s="8"/>
      <c r="D204" s="10"/>
      <c r="E204" s="8"/>
      <c r="F204" s="8"/>
      <c r="G204" s="10"/>
      <c r="H204" s="10"/>
      <c r="I204" s="8"/>
      <c r="J204" s="8"/>
      <c r="K204" s="8"/>
      <c r="L204" s="10"/>
      <c r="M204" s="8"/>
      <c r="N204" s="10"/>
      <c r="O204" s="9"/>
      <c r="P204" s="9"/>
      <c r="Q204" s="11" t="str">
        <f t="shared" ca="1" si="24"/>
        <v/>
      </c>
      <c r="R204" s="11" t="str">
        <f t="shared" si="25"/>
        <v/>
      </c>
      <c r="S204" s="12" t="str">
        <f t="shared" ca="1" si="26"/>
        <v/>
      </c>
      <c r="T204" s="12" t="str">
        <f t="shared" ca="1" si="27"/>
        <v/>
      </c>
    </row>
  </sheetData>
  <autoFilter ref="A4:T204"/>
  <conditionalFormatting sqref="I5:I204">
    <cfRule type="expression" dxfId="18" priority="2">
      <formula>I5="Critical"</formula>
    </cfRule>
    <cfRule type="expression" dxfId="17" priority="3">
      <formula>I5="High"</formula>
    </cfRule>
    <cfRule type="expression" dxfId="16" priority="4">
      <formula>I5="Medium"</formula>
    </cfRule>
    <cfRule type="expression" dxfId="15" priority="5">
      <formula>I5="Low"</formula>
    </cfRule>
  </conditionalFormatting>
  <conditionalFormatting sqref="J5:J204">
    <cfRule type="expression" dxfId="14" priority="6">
      <formula>J5="Resolved"</formula>
    </cfRule>
    <cfRule type="expression" dxfId="13" priority="7">
      <formula>J5="Closed"</formula>
    </cfRule>
    <cfRule type="expression" dxfId="12" priority="8">
      <formula>J5="Escalated"</formula>
    </cfRule>
    <cfRule type="expression" dxfId="11" priority="9">
      <formula>J5="In Progress"</formula>
    </cfRule>
    <cfRule type="expression" dxfId="10" priority="10">
      <formula>J5="Pending Customer"</formula>
    </cfRule>
    <cfRule type="expression" dxfId="9" priority="11">
      <formula>J5="Open"</formula>
    </cfRule>
    <cfRule type="expression" dxfId="8" priority="12">
      <formula>J5="New"</formula>
    </cfRule>
  </conditionalFormatting>
  <conditionalFormatting sqref="M5:M204">
    <cfRule type="expression" dxfId="7" priority="13">
      <formula>M5="Yes"</formula>
    </cfRule>
  </conditionalFormatting>
  <conditionalFormatting sqref="T5:T204">
    <cfRule type="expression" dxfId="6" priority="14">
      <formula>T5="OVERDUE"</formula>
    </cfRule>
    <cfRule type="expression" dxfId="5" priority="15">
      <formula>T5="Due Today"</formula>
    </cfRule>
    <cfRule type="expression" dxfId="4" priority="16">
      <formula>T5="Done"</formula>
    </cfRule>
    <cfRule type="expression" dxfId="3" priority="17">
      <formula>T5="No follow-up set"</formula>
    </cfRule>
  </conditionalFormatting>
  <conditionalFormatting sqref="S5:S204">
    <cfRule type="expression" dxfId="2" priority="18">
      <formula>LEFT(S5,8)="Breached"</formula>
    </cfRule>
    <cfRule type="expression" dxfId="1" priority="19">
      <formula>S5="Met"</formula>
    </cfRule>
    <cfRule type="expression" dxfId="0" priority="20">
      <formula>S5="On Track"</formula>
    </cfRule>
  </conditionalFormatting>
  <dataValidations count="6">
    <dataValidation type="list" allowBlank="1" showInputMessage="1" showErrorMessage="1" errorTitle="Invalid entry" error="Pick a channel from the list" promptTitle="Channel" prompt="Pick a channel from the list" sqref="F5:F204">
      <formula1>Channel_List</formula1>
      <formula2>0</formula2>
    </dataValidation>
    <dataValidation type="list" allowBlank="1" showInputMessage="1" showErrorMessage="1" errorTitle="Invalid entry" error="Pick a category from the list" promptTitle="Issue Category" prompt="Pick a category from the list" sqref="G5:G204">
      <formula1>Category_List</formula1>
      <formula2>0</formula2>
    </dataValidation>
    <dataValidation type="list" allowBlank="1" showInputMessage="1" showErrorMessage="1" errorTitle="Invalid entry" error="Critical / High / Medium / Low" promptTitle="Priority" prompt="Critical / High / Medium / Low" sqref="I5:I204">
      <formula1>Priority_List</formula1>
      <formula2>0</formula2>
    </dataValidation>
    <dataValidation type="list" allowBlank="1" showInputMessage="1" showErrorMessage="1" errorTitle="Invalid entry" error="Pick a status from the list" promptTitle="Ticket Status" prompt="Pick a status from the list" sqref="J5:J204">
      <formula1>Status_List</formula1>
      <formula2>0</formula2>
    </dataValidation>
    <dataValidation type="list" allowBlank="1" showInputMessage="1" showErrorMessage="1" errorTitle="Invalid entry" error="Yes or No" promptTitle="Escalated?" prompt="Yes or No" sqref="M5:M204">
      <formula1>YesNo_List</formula1>
      <formula2>0</formula2>
    </dataValidation>
    <dataValidation type="date" operator="greaterThanOrEqual" allowBlank="1" showErrorMessage="1" errorTitle="Invalid date" error="Enter a valid date, e.g. 15-Oct-2026" sqref="B5:B204 O5:P204">
      <formula1>36526</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dimension ref="A1:M24"/>
  <sheetViews>
    <sheetView workbookViewId="0">
      <pane xSplit="3" ySplit="4" topLeftCell="D5" activePane="bottomRight" state="frozen"/>
      <selection pane="topRight" activeCell="D1" sqref="D1"/>
      <selection pane="bottomLeft" activeCell="A5" sqref="A5"/>
      <selection pane="bottomRight"/>
    </sheetView>
  </sheetViews>
  <sheetFormatPr defaultColWidth="8.6640625" defaultRowHeight="14.4"/>
  <cols>
    <col min="1" max="1" width="9" customWidth="1"/>
    <col min="2" max="2" width="12" customWidth="1"/>
    <col min="3" max="3" width="18" customWidth="1"/>
    <col min="4" max="4" width="16" customWidth="1"/>
    <col min="5" max="5" width="20" customWidth="1"/>
    <col min="6" max="6" width="12" customWidth="1"/>
    <col min="7" max="7" width="22" customWidth="1"/>
    <col min="8" max="8" width="11" customWidth="1"/>
    <col min="9" max="9" width="42" customWidth="1"/>
    <col min="10" max="10" width="40" customWidth="1"/>
    <col min="11" max="11" width="26" customWidth="1"/>
    <col min="12" max="12" width="62" customWidth="1"/>
    <col min="13" max="13" width="11" customWidth="1"/>
  </cols>
  <sheetData>
    <row r="1" spans="1:13" ht="21">
      <c r="A1" s="1" t="s">
        <v>192</v>
      </c>
    </row>
    <row r="2" spans="1:13">
      <c r="A2" s="6" t="s">
        <v>193</v>
      </c>
    </row>
    <row r="4" spans="1:13" ht="31.5" customHeight="1">
      <c r="A4" s="7" t="s">
        <v>194</v>
      </c>
      <c r="B4" s="7" t="s">
        <v>38</v>
      </c>
      <c r="C4" s="7" t="s">
        <v>39</v>
      </c>
      <c r="D4" s="7" t="s">
        <v>40</v>
      </c>
      <c r="E4" s="7" t="s">
        <v>195</v>
      </c>
      <c r="F4" s="7" t="s">
        <v>41</v>
      </c>
      <c r="G4" s="7" t="s">
        <v>42</v>
      </c>
      <c r="H4" s="7" t="s">
        <v>196</v>
      </c>
      <c r="I4" s="7" t="s">
        <v>197</v>
      </c>
      <c r="J4" s="7" t="s">
        <v>198</v>
      </c>
      <c r="K4" s="7" t="s">
        <v>199</v>
      </c>
      <c r="L4" s="7" t="s">
        <v>200</v>
      </c>
      <c r="M4" s="7" t="s">
        <v>201</v>
      </c>
    </row>
    <row r="5" spans="1:13" ht="91.5" customHeight="1">
      <c r="A5" s="13">
        <v>1</v>
      </c>
      <c r="B5" s="14" t="s">
        <v>57</v>
      </c>
      <c r="C5" s="14" t="s">
        <v>58</v>
      </c>
      <c r="D5" s="14" t="s">
        <v>59</v>
      </c>
      <c r="E5" s="14" t="s">
        <v>202</v>
      </c>
      <c r="F5" s="14" t="s">
        <v>60</v>
      </c>
      <c r="G5" s="14" t="s">
        <v>61</v>
      </c>
      <c r="H5" s="15" t="s">
        <v>63</v>
      </c>
      <c r="I5" s="14" t="s">
        <v>203</v>
      </c>
      <c r="J5" s="14" t="s">
        <v>204</v>
      </c>
      <c r="K5" s="14" t="s">
        <v>205</v>
      </c>
      <c r="L5" s="14" t="s">
        <v>206</v>
      </c>
      <c r="M5" s="13" t="s">
        <v>67</v>
      </c>
    </row>
    <row r="6" spans="1:13" ht="91.5" customHeight="1">
      <c r="A6" s="13">
        <v>2</v>
      </c>
      <c r="B6" s="14" t="s">
        <v>69</v>
      </c>
      <c r="C6" s="14" t="s">
        <v>70</v>
      </c>
      <c r="D6" s="14" t="s">
        <v>71</v>
      </c>
      <c r="E6" s="14" t="s">
        <v>207</v>
      </c>
      <c r="F6" s="14" t="s">
        <v>72</v>
      </c>
      <c r="G6" s="14" t="s">
        <v>73</v>
      </c>
      <c r="H6" s="16" t="s">
        <v>75</v>
      </c>
      <c r="I6" s="14" t="s">
        <v>208</v>
      </c>
      <c r="J6" s="14" t="s">
        <v>209</v>
      </c>
      <c r="K6" s="14" t="s">
        <v>210</v>
      </c>
      <c r="L6" s="14" t="s">
        <v>211</v>
      </c>
      <c r="M6" s="13" t="s">
        <v>67</v>
      </c>
    </row>
    <row r="7" spans="1:13" ht="91.5" customHeight="1">
      <c r="A7" s="13">
        <v>3</v>
      </c>
      <c r="B7" s="14" t="s">
        <v>80</v>
      </c>
      <c r="C7" s="14" t="s">
        <v>81</v>
      </c>
      <c r="D7" s="14" t="s">
        <v>82</v>
      </c>
      <c r="E7" s="14" t="s">
        <v>212</v>
      </c>
      <c r="F7" s="14" t="s">
        <v>60</v>
      </c>
      <c r="G7" s="14" t="s">
        <v>83</v>
      </c>
      <c r="H7" s="15" t="s">
        <v>63</v>
      </c>
      <c r="I7" s="14" t="s">
        <v>213</v>
      </c>
      <c r="J7" s="14" t="s">
        <v>214</v>
      </c>
      <c r="K7" s="14" t="s">
        <v>215</v>
      </c>
      <c r="L7" s="14" t="s">
        <v>216</v>
      </c>
      <c r="M7" s="17" t="s">
        <v>87</v>
      </c>
    </row>
    <row r="8" spans="1:13" ht="91.5" customHeight="1">
      <c r="A8" s="13">
        <v>4</v>
      </c>
      <c r="B8" s="14" t="s">
        <v>90</v>
      </c>
      <c r="C8" s="14" t="s">
        <v>91</v>
      </c>
      <c r="D8" s="14" t="s">
        <v>92</v>
      </c>
      <c r="E8" s="14" t="s">
        <v>217</v>
      </c>
      <c r="F8" s="14" t="s">
        <v>60</v>
      </c>
      <c r="G8" s="14" t="s">
        <v>93</v>
      </c>
      <c r="H8" s="16" t="s">
        <v>75</v>
      </c>
      <c r="I8" s="14" t="s">
        <v>218</v>
      </c>
      <c r="J8" s="14" t="s">
        <v>219</v>
      </c>
      <c r="K8" s="14" t="s">
        <v>220</v>
      </c>
      <c r="L8" s="14" t="s">
        <v>221</v>
      </c>
      <c r="M8" s="13" t="s">
        <v>67</v>
      </c>
    </row>
    <row r="9" spans="1:13" ht="91.5" customHeight="1">
      <c r="A9" s="13">
        <v>5</v>
      </c>
      <c r="B9" s="14" t="s">
        <v>99</v>
      </c>
      <c r="C9" s="14" t="s">
        <v>100</v>
      </c>
      <c r="D9" s="14" t="s">
        <v>101</v>
      </c>
      <c r="E9" s="14" t="s">
        <v>222</v>
      </c>
      <c r="F9" s="14" t="s">
        <v>102</v>
      </c>
      <c r="G9" s="14" t="s">
        <v>103</v>
      </c>
      <c r="H9" s="15" t="s">
        <v>63</v>
      </c>
      <c r="I9" s="14" t="s">
        <v>223</v>
      </c>
      <c r="J9" s="14" t="s">
        <v>224</v>
      </c>
      <c r="K9" s="14" t="s">
        <v>225</v>
      </c>
      <c r="L9" s="14" t="s">
        <v>226</v>
      </c>
      <c r="M9" s="13" t="s">
        <v>67</v>
      </c>
    </row>
    <row r="10" spans="1:13" ht="91.5" customHeight="1">
      <c r="A10" s="13">
        <v>6</v>
      </c>
      <c r="B10" s="14" t="s">
        <v>107</v>
      </c>
      <c r="C10" s="14" t="s">
        <v>108</v>
      </c>
      <c r="D10" s="14" t="s">
        <v>109</v>
      </c>
      <c r="E10" s="14" t="s">
        <v>227</v>
      </c>
      <c r="F10" s="14" t="s">
        <v>72</v>
      </c>
      <c r="G10" s="14" t="s">
        <v>110</v>
      </c>
      <c r="H10" s="16" t="s">
        <v>75</v>
      </c>
      <c r="I10" s="14" t="s">
        <v>228</v>
      </c>
      <c r="J10" s="14" t="s">
        <v>229</v>
      </c>
      <c r="K10" s="14" t="s">
        <v>230</v>
      </c>
      <c r="L10" s="14" t="s">
        <v>231</v>
      </c>
      <c r="M10" s="13" t="s">
        <v>67</v>
      </c>
    </row>
    <row r="11" spans="1:13" ht="91.5" customHeight="1">
      <c r="A11" s="13">
        <v>7</v>
      </c>
      <c r="B11" s="14" t="s">
        <v>115</v>
      </c>
      <c r="C11" s="14" t="s">
        <v>116</v>
      </c>
      <c r="D11" s="14" t="s">
        <v>117</v>
      </c>
      <c r="E11" s="14" t="s">
        <v>232</v>
      </c>
      <c r="F11" s="14" t="s">
        <v>60</v>
      </c>
      <c r="G11" s="14" t="s">
        <v>118</v>
      </c>
      <c r="H11" s="18" t="s">
        <v>120</v>
      </c>
      <c r="I11" s="14" t="s">
        <v>233</v>
      </c>
      <c r="J11" s="14" t="s">
        <v>234</v>
      </c>
      <c r="K11" s="14" t="s">
        <v>235</v>
      </c>
      <c r="L11" s="14" t="s">
        <v>236</v>
      </c>
      <c r="M11" s="13" t="s">
        <v>67</v>
      </c>
    </row>
    <row r="12" spans="1:13" ht="91.5" customHeight="1">
      <c r="A12" s="13">
        <v>8</v>
      </c>
      <c r="B12" s="14" t="s">
        <v>123</v>
      </c>
      <c r="C12" s="14" t="s">
        <v>124</v>
      </c>
      <c r="D12" s="14" t="s">
        <v>125</v>
      </c>
      <c r="E12" s="14" t="s">
        <v>237</v>
      </c>
      <c r="F12" s="14" t="s">
        <v>126</v>
      </c>
      <c r="G12" s="14" t="s">
        <v>127</v>
      </c>
      <c r="H12" s="15" t="s">
        <v>63</v>
      </c>
      <c r="I12" s="14" t="s">
        <v>238</v>
      </c>
      <c r="J12" s="14" t="s">
        <v>239</v>
      </c>
      <c r="K12" s="14" t="s">
        <v>240</v>
      </c>
      <c r="L12" s="14" t="s">
        <v>241</v>
      </c>
      <c r="M12" s="17" t="s">
        <v>87</v>
      </c>
    </row>
    <row r="13" spans="1:13" ht="91.5" customHeight="1">
      <c r="A13" s="13">
        <v>9</v>
      </c>
      <c r="B13" s="14" t="s">
        <v>130</v>
      </c>
      <c r="C13" s="14" t="s">
        <v>131</v>
      </c>
      <c r="D13" s="14" t="s">
        <v>132</v>
      </c>
      <c r="E13" s="14" t="s">
        <v>242</v>
      </c>
      <c r="F13" s="14" t="s">
        <v>133</v>
      </c>
      <c r="G13" s="14" t="s">
        <v>73</v>
      </c>
      <c r="H13" s="15" t="s">
        <v>63</v>
      </c>
      <c r="I13" s="14" t="s">
        <v>243</v>
      </c>
      <c r="J13" s="14" t="s">
        <v>244</v>
      </c>
      <c r="K13" s="14" t="s">
        <v>245</v>
      </c>
      <c r="L13" s="14" t="s">
        <v>246</v>
      </c>
      <c r="M13" s="13" t="s">
        <v>67</v>
      </c>
    </row>
    <row r="14" spans="1:13" ht="91.5" customHeight="1">
      <c r="A14" s="13">
        <v>10</v>
      </c>
      <c r="B14" s="14" t="s">
        <v>136</v>
      </c>
      <c r="C14" s="14" t="s">
        <v>137</v>
      </c>
      <c r="D14" s="14" t="s">
        <v>138</v>
      </c>
      <c r="E14" s="14" t="s">
        <v>247</v>
      </c>
      <c r="F14" s="14" t="s">
        <v>60</v>
      </c>
      <c r="G14" s="14" t="s">
        <v>139</v>
      </c>
      <c r="H14" s="16" t="s">
        <v>75</v>
      </c>
      <c r="I14" s="14" t="s">
        <v>248</v>
      </c>
      <c r="J14" s="14" t="s">
        <v>249</v>
      </c>
      <c r="K14" s="14" t="s">
        <v>250</v>
      </c>
      <c r="L14" s="14" t="s">
        <v>251</v>
      </c>
      <c r="M14" s="13" t="s">
        <v>67</v>
      </c>
    </row>
    <row r="15" spans="1:13" ht="91.5" customHeight="1">
      <c r="A15" s="13">
        <v>11</v>
      </c>
      <c r="B15" s="14" t="s">
        <v>142</v>
      </c>
      <c r="C15" s="14" t="s">
        <v>143</v>
      </c>
      <c r="D15" s="14" t="s">
        <v>144</v>
      </c>
      <c r="E15" s="14" t="s">
        <v>252</v>
      </c>
      <c r="F15" s="14" t="s">
        <v>60</v>
      </c>
      <c r="G15" s="14" t="s">
        <v>73</v>
      </c>
      <c r="H15" s="18" t="s">
        <v>120</v>
      </c>
      <c r="I15" s="14" t="s">
        <v>253</v>
      </c>
      <c r="J15" s="14" t="s">
        <v>254</v>
      </c>
      <c r="K15" s="14" t="s">
        <v>255</v>
      </c>
      <c r="L15" s="14" t="s">
        <v>256</v>
      </c>
      <c r="M15" s="13" t="s">
        <v>67</v>
      </c>
    </row>
    <row r="16" spans="1:13" ht="91.5" customHeight="1">
      <c r="A16" s="13">
        <v>12</v>
      </c>
      <c r="B16" s="14" t="s">
        <v>147</v>
      </c>
      <c r="C16" s="14" t="s">
        <v>148</v>
      </c>
      <c r="D16" s="14" t="s">
        <v>149</v>
      </c>
      <c r="E16" s="14" t="s">
        <v>257</v>
      </c>
      <c r="F16" s="14" t="s">
        <v>133</v>
      </c>
      <c r="G16" s="14" t="s">
        <v>83</v>
      </c>
      <c r="H16" s="19" t="s">
        <v>151</v>
      </c>
      <c r="I16" s="14" t="s">
        <v>258</v>
      </c>
      <c r="J16" s="14" t="s">
        <v>259</v>
      </c>
      <c r="K16" s="14" t="s">
        <v>260</v>
      </c>
      <c r="L16" s="14" t="s">
        <v>261</v>
      </c>
      <c r="M16" s="17" t="s">
        <v>87</v>
      </c>
    </row>
    <row r="17" spans="1:13" ht="91.5" customHeight="1">
      <c r="A17" s="13">
        <v>13</v>
      </c>
      <c r="B17" s="14" t="s">
        <v>153</v>
      </c>
      <c r="C17" s="14" t="s">
        <v>154</v>
      </c>
      <c r="D17" s="14" t="s">
        <v>155</v>
      </c>
      <c r="E17" s="14" t="s">
        <v>262</v>
      </c>
      <c r="F17" s="14" t="s">
        <v>72</v>
      </c>
      <c r="G17" s="14" t="s">
        <v>139</v>
      </c>
      <c r="H17" s="16" t="s">
        <v>75</v>
      </c>
      <c r="I17" s="14" t="s">
        <v>263</v>
      </c>
      <c r="J17" s="14" t="s">
        <v>264</v>
      </c>
      <c r="K17" s="14" t="s">
        <v>265</v>
      </c>
      <c r="L17" s="14" t="s">
        <v>266</v>
      </c>
      <c r="M17" s="17" t="s">
        <v>87</v>
      </c>
    </row>
    <row r="18" spans="1:13" ht="91.5" customHeight="1">
      <c r="A18" s="13">
        <v>14</v>
      </c>
      <c r="B18" s="14" t="s">
        <v>158</v>
      </c>
      <c r="C18" s="14" t="s">
        <v>159</v>
      </c>
      <c r="D18" s="14" t="s">
        <v>160</v>
      </c>
      <c r="E18" s="14" t="s">
        <v>267</v>
      </c>
      <c r="F18" s="14" t="s">
        <v>60</v>
      </c>
      <c r="G18" s="14" t="s">
        <v>61</v>
      </c>
      <c r="H18" s="18" t="s">
        <v>120</v>
      </c>
      <c r="I18" s="14" t="s">
        <v>268</v>
      </c>
      <c r="J18" s="14" t="s">
        <v>269</v>
      </c>
      <c r="K18" s="14" t="s">
        <v>270</v>
      </c>
      <c r="L18" s="14" t="s">
        <v>271</v>
      </c>
      <c r="M18" s="13" t="s">
        <v>67</v>
      </c>
    </row>
    <row r="19" spans="1:13" ht="91.5" customHeight="1">
      <c r="A19" s="13">
        <v>15</v>
      </c>
      <c r="B19" s="14" t="s">
        <v>163</v>
      </c>
      <c r="C19" s="14" t="s">
        <v>164</v>
      </c>
      <c r="D19" s="14" t="s">
        <v>165</v>
      </c>
      <c r="E19" s="14" t="s">
        <v>272</v>
      </c>
      <c r="F19" s="14" t="s">
        <v>133</v>
      </c>
      <c r="G19" s="14" t="s">
        <v>118</v>
      </c>
      <c r="H19" s="16" t="s">
        <v>75</v>
      </c>
      <c r="I19" s="14" t="s">
        <v>273</v>
      </c>
      <c r="J19" s="14" t="s">
        <v>274</v>
      </c>
      <c r="K19" s="14" t="s">
        <v>275</v>
      </c>
      <c r="L19" s="14" t="s">
        <v>276</v>
      </c>
      <c r="M19" s="13" t="s">
        <v>67</v>
      </c>
    </row>
    <row r="20" spans="1:13" ht="91.5" customHeight="1">
      <c r="A20" s="13">
        <v>16</v>
      </c>
      <c r="B20" s="14" t="s">
        <v>168</v>
      </c>
      <c r="C20" s="14" t="s">
        <v>169</v>
      </c>
      <c r="D20" s="14" t="s">
        <v>170</v>
      </c>
      <c r="E20" s="14" t="s">
        <v>277</v>
      </c>
      <c r="F20" s="14" t="s">
        <v>60</v>
      </c>
      <c r="G20" s="14" t="s">
        <v>61</v>
      </c>
      <c r="H20" s="15" t="s">
        <v>63</v>
      </c>
      <c r="I20" s="14" t="s">
        <v>278</v>
      </c>
      <c r="J20" s="14" t="s">
        <v>279</v>
      </c>
      <c r="K20" s="14" t="s">
        <v>280</v>
      </c>
      <c r="L20" s="14" t="s">
        <v>281</v>
      </c>
      <c r="M20" s="13" t="s">
        <v>67</v>
      </c>
    </row>
    <row r="21" spans="1:13" ht="91.5" customHeight="1">
      <c r="A21" s="13">
        <v>17</v>
      </c>
      <c r="B21" s="14" t="s">
        <v>173</v>
      </c>
      <c r="C21" s="14" t="s">
        <v>174</v>
      </c>
      <c r="D21" s="14" t="s">
        <v>175</v>
      </c>
      <c r="E21" s="14" t="s">
        <v>282</v>
      </c>
      <c r="F21" s="14" t="s">
        <v>60</v>
      </c>
      <c r="G21" s="14" t="s">
        <v>127</v>
      </c>
      <c r="H21" s="15" t="s">
        <v>63</v>
      </c>
      <c r="I21" s="14" t="s">
        <v>283</v>
      </c>
      <c r="J21" s="14" t="s">
        <v>284</v>
      </c>
      <c r="K21" s="14" t="s">
        <v>285</v>
      </c>
      <c r="L21" s="14" t="s">
        <v>286</v>
      </c>
      <c r="M21" s="17" t="s">
        <v>87</v>
      </c>
    </row>
    <row r="22" spans="1:13" ht="91.5" customHeight="1">
      <c r="A22" s="13">
        <v>18</v>
      </c>
      <c r="B22" s="14" t="s">
        <v>178</v>
      </c>
      <c r="C22" s="14" t="s">
        <v>179</v>
      </c>
      <c r="D22" s="14" t="s">
        <v>180</v>
      </c>
      <c r="E22" s="14" t="s">
        <v>287</v>
      </c>
      <c r="F22" s="14" t="s">
        <v>60</v>
      </c>
      <c r="G22" s="14" t="s">
        <v>61</v>
      </c>
      <c r="H22" s="18" t="s">
        <v>120</v>
      </c>
      <c r="I22" s="14" t="s">
        <v>288</v>
      </c>
      <c r="J22" s="14" t="s">
        <v>289</v>
      </c>
      <c r="K22" s="14" t="s">
        <v>290</v>
      </c>
      <c r="L22" s="14" t="s">
        <v>291</v>
      </c>
      <c r="M22" s="13" t="s">
        <v>67</v>
      </c>
    </row>
    <row r="23" spans="1:13" ht="91.5" customHeight="1">
      <c r="A23" s="13">
        <v>19</v>
      </c>
      <c r="B23" s="14" t="s">
        <v>183</v>
      </c>
      <c r="C23" s="14" t="s">
        <v>184</v>
      </c>
      <c r="D23" s="14" t="s">
        <v>185</v>
      </c>
      <c r="E23" s="14" t="s">
        <v>292</v>
      </c>
      <c r="F23" s="14" t="s">
        <v>133</v>
      </c>
      <c r="G23" s="14" t="s">
        <v>139</v>
      </c>
      <c r="H23" s="18" t="s">
        <v>120</v>
      </c>
      <c r="I23" s="14" t="s">
        <v>293</v>
      </c>
      <c r="J23" s="14" t="s">
        <v>294</v>
      </c>
      <c r="K23" s="14" t="s">
        <v>295</v>
      </c>
      <c r="L23" s="14" t="s">
        <v>296</v>
      </c>
      <c r="M23" s="13" t="s">
        <v>67</v>
      </c>
    </row>
    <row r="24" spans="1:13" ht="91.5" customHeight="1">
      <c r="A24" s="13">
        <v>20</v>
      </c>
      <c r="B24" s="14" t="s">
        <v>188</v>
      </c>
      <c r="C24" s="14" t="s">
        <v>189</v>
      </c>
      <c r="D24" s="14" t="s">
        <v>190</v>
      </c>
      <c r="E24" s="14" t="s">
        <v>297</v>
      </c>
      <c r="F24" s="14" t="s">
        <v>60</v>
      </c>
      <c r="G24" s="14" t="s">
        <v>103</v>
      </c>
      <c r="H24" s="16" t="s">
        <v>75</v>
      </c>
      <c r="I24" s="14" t="s">
        <v>298</v>
      </c>
      <c r="J24" s="14" t="s">
        <v>299</v>
      </c>
      <c r="K24" s="14" t="s">
        <v>300</v>
      </c>
      <c r="L24" s="14" t="s">
        <v>301</v>
      </c>
      <c r="M24" s="13" t="s">
        <v>67</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dimension ref="A1:B42"/>
  <sheetViews>
    <sheetView workbookViewId="0"/>
  </sheetViews>
  <sheetFormatPr defaultColWidth="8.6640625" defaultRowHeight="14.4"/>
  <cols>
    <col min="1" max="1" width="42" customWidth="1"/>
    <col min="2" max="2" width="12" customWidth="1"/>
  </cols>
  <sheetData>
    <row r="1" spans="1:2" ht="21">
      <c r="A1" s="1" t="s">
        <v>302</v>
      </c>
    </row>
    <row r="2" spans="1:2">
      <c r="A2" s="6" t="s">
        <v>303</v>
      </c>
    </row>
    <row r="4" spans="1:2">
      <c r="A4" s="7" t="s">
        <v>304</v>
      </c>
      <c r="B4" s="7" t="s">
        <v>305</v>
      </c>
    </row>
    <row r="5" spans="1:2">
      <c r="A5" s="20" t="s">
        <v>306</v>
      </c>
      <c r="B5" s="21">
        <f>COUNTA('Support Tracker'!$C$5:$C$204)</f>
        <v>20</v>
      </c>
    </row>
    <row r="6" spans="1:2">
      <c r="A6" s="20" t="s">
        <v>307</v>
      </c>
      <c r="B6" s="21">
        <f>B5-COUNTIF('Support Tracker'!$J$5:$J$204,"Resolved")-COUNTIF('Support Tracker'!$J$5:$J$204,"Closed")</f>
        <v>18</v>
      </c>
    </row>
    <row r="7" spans="1:2">
      <c r="A7" s="20" t="s">
        <v>308</v>
      </c>
      <c r="B7" s="21">
        <f>COUNTIF('Support Tracker'!$J$5:$J$204,"Resolved")+COUNTIF('Support Tracker'!$J$5:$J$204,"Closed")</f>
        <v>2</v>
      </c>
    </row>
    <row r="8" spans="1:2">
      <c r="A8" s="20" t="s">
        <v>309</v>
      </c>
      <c r="B8" s="22">
        <f>IF(B5=0,0,B7/B5)</f>
        <v>0.1</v>
      </c>
    </row>
    <row r="9" spans="1:2">
      <c r="A9" s="20" t="s">
        <v>310</v>
      </c>
      <c r="B9" s="21">
        <f>COUNTIF('Support Tracker'!$M$5:$M$204,"Yes")</f>
        <v>1</v>
      </c>
    </row>
    <row r="10" spans="1:2">
      <c r="A10" s="20" t="s">
        <v>311</v>
      </c>
      <c r="B10" s="22">
        <f>IF(B5=0,0,B9/B5)</f>
        <v>0.05</v>
      </c>
    </row>
    <row r="11" spans="1:2">
      <c r="A11" s="20" t="s">
        <v>312</v>
      </c>
      <c r="B11" s="21">
        <f ca="1">COUNTIF('Support Tracker'!$T$5:$T$204,"OVERDUE")</f>
        <v>1</v>
      </c>
    </row>
    <row r="12" spans="1:2">
      <c r="A12" s="20" t="s">
        <v>313</v>
      </c>
      <c r="B12" s="21">
        <f ca="1">COUNTIF('Support Tracker'!$T$5:$T$204,"Due Today")</f>
        <v>1</v>
      </c>
    </row>
    <row r="13" spans="1:2">
      <c r="A13" s="20" t="s">
        <v>314</v>
      </c>
      <c r="B13" s="21">
        <f ca="1">COUNTIF('Support Tracker'!$S$5:$S$204,"Breached*")</f>
        <v>7</v>
      </c>
    </row>
    <row r="14" spans="1:2">
      <c r="A14" s="20" t="s">
        <v>315</v>
      </c>
      <c r="B14" s="23">
        <f ca="1">IFERROR(AVERAGEIF('Support Tracker'!$P$5:$P$204,"&gt;0",'Support Tracker'!$Q$5:$Q$204),0)</f>
        <v>1.5</v>
      </c>
    </row>
    <row r="17" spans="1:2">
      <c r="A17" s="7" t="s">
        <v>45</v>
      </c>
      <c r="B17" s="7" t="s">
        <v>316</v>
      </c>
    </row>
    <row r="18" spans="1:2">
      <c r="A18" s="20" t="str">
        <f>Lists!A5</f>
        <v>New</v>
      </c>
      <c r="B18" s="24">
        <f>COUNTIF('Support Tracker'!$J$5:$J$204,A18)</f>
        <v>14</v>
      </c>
    </row>
    <row r="19" spans="1:2">
      <c r="A19" s="20" t="str">
        <f>Lists!A6</f>
        <v>Open</v>
      </c>
      <c r="B19" s="24">
        <f>COUNTIF('Support Tracker'!$J$5:$J$204,A19)</f>
        <v>1</v>
      </c>
    </row>
    <row r="20" spans="1:2">
      <c r="A20" s="20" t="str">
        <f>Lists!A7</f>
        <v>In Progress</v>
      </c>
      <c r="B20" s="24">
        <f>COUNTIF('Support Tracker'!$J$5:$J$204,A20)</f>
        <v>1</v>
      </c>
    </row>
    <row r="21" spans="1:2">
      <c r="A21" s="20" t="str">
        <f>Lists!A8</f>
        <v>Pending Customer</v>
      </c>
      <c r="B21" s="24">
        <f>COUNTIF('Support Tracker'!$J$5:$J$204,A21)</f>
        <v>1</v>
      </c>
    </row>
    <row r="22" spans="1:2">
      <c r="A22" s="20" t="str">
        <f>Lists!A9</f>
        <v>Escalated</v>
      </c>
      <c r="B22" s="24">
        <f>COUNTIF('Support Tracker'!$J$5:$J$204,A22)</f>
        <v>1</v>
      </c>
    </row>
    <row r="23" spans="1:2">
      <c r="A23" s="20" t="str">
        <f>Lists!A10</f>
        <v>Resolved</v>
      </c>
      <c r="B23" s="24">
        <f>COUNTIF('Support Tracker'!$J$5:$J$204,A23)</f>
        <v>2</v>
      </c>
    </row>
    <row r="24" spans="1:2">
      <c r="A24" s="20" t="str">
        <f>Lists!A11</f>
        <v>Closed</v>
      </c>
      <c r="B24" s="24">
        <f>COUNTIF('Support Tracker'!$J$5:$J$204,A24)</f>
        <v>0</v>
      </c>
    </row>
    <row r="27" spans="1:2">
      <c r="A27" s="7" t="s">
        <v>44</v>
      </c>
      <c r="B27" s="7" t="s">
        <v>316</v>
      </c>
    </row>
    <row r="28" spans="1:2">
      <c r="A28" s="20" t="str">
        <f>Lists!B5</f>
        <v>Critical</v>
      </c>
      <c r="B28" s="24">
        <f>COUNTIF('Support Tracker'!$I$5:$I$204,A28)</f>
        <v>1</v>
      </c>
    </row>
    <row r="29" spans="1:2">
      <c r="A29" s="20" t="str">
        <f>Lists!B6</f>
        <v>High</v>
      </c>
      <c r="B29" s="24">
        <f>COUNTIF('Support Tracker'!$I$5:$I$204,A29)</f>
        <v>7</v>
      </c>
    </row>
    <row r="30" spans="1:2">
      <c r="A30" s="20" t="str">
        <f>Lists!B7</f>
        <v>Medium</v>
      </c>
      <c r="B30" s="24">
        <f>COUNTIF('Support Tracker'!$I$5:$I$204,A30)</f>
        <v>7</v>
      </c>
    </row>
    <row r="31" spans="1:2">
      <c r="A31" s="20" t="str">
        <f>Lists!B8</f>
        <v>Low</v>
      </c>
      <c r="B31" s="24">
        <f>COUNTIF('Support Tracker'!$I$5:$I$204,A31)</f>
        <v>5</v>
      </c>
    </row>
    <row r="33" spans="1:2">
      <c r="A33" s="7" t="s">
        <v>42</v>
      </c>
      <c r="B33" s="7" t="s">
        <v>316</v>
      </c>
    </row>
    <row r="34" spans="1:2">
      <c r="A34" s="20" t="str">
        <f>Lists!D5</f>
        <v>Billing &amp; Payments</v>
      </c>
      <c r="B34" s="24">
        <f>COUNTIF('Support Tracker'!$G$5:$G$204,A34)</f>
        <v>4</v>
      </c>
    </row>
    <row r="35" spans="1:2">
      <c r="A35" s="20" t="str">
        <f>Lists!D6</f>
        <v>Shipping &amp; Delivery</v>
      </c>
      <c r="B35" s="24">
        <f>COUNTIF('Support Tracker'!$G$5:$G$204,A35)</f>
        <v>3</v>
      </c>
    </row>
    <row r="36" spans="1:2">
      <c r="A36" s="20" t="str">
        <f>Lists!D7</f>
        <v>Product Defect</v>
      </c>
      <c r="B36" s="24">
        <f>COUNTIF('Support Tracker'!$G$5:$G$204,A36)</f>
        <v>1</v>
      </c>
    </row>
    <row r="37" spans="1:2">
      <c r="A37" s="20" t="str">
        <f>Lists!D8</f>
        <v>Returns &amp; Refunds</v>
      </c>
      <c r="B37" s="24">
        <f>COUNTIF('Support Tracker'!$G$5:$G$204,A37)</f>
        <v>2</v>
      </c>
    </row>
    <row r="38" spans="1:2">
      <c r="A38" s="20" t="str">
        <f>Lists!D9</f>
        <v>Account &amp; Login</v>
      </c>
      <c r="B38" s="24">
        <f>COUNTIF('Support Tracker'!$G$5:$G$204,A38)</f>
        <v>1</v>
      </c>
    </row>
    <row r="39" spans="1:2">
      <c r="A39" s="20" t="str">
        <f>Lists!D10</f>
        <v>Technical Support</v>
      </c>
      <c r="B39" s="24">
        <f>COUNTIF('Support Tracker'!$G$5:$G$204,A39)</f>
        <v>3</v>
      </c>
    </row>
    <row r="40" spans="1:2">
      <c r="A40" s="20" t="str">
        <f>Lists!D11</f>
        <v>Order Changes &amp; Cancellation</v>
      </c>
      <c r="B40" s="24">
        <f>COUNTIF('Support Tracker'!$G$5:$G$204,A40)</f>
        <v>2</v>
      </c>
    </row>
    <row r="41" spans="1:2">
      <c r="A41" s="20" t="str">
        <f>Lists!D12</f>
        <v>Complaint / Feedback</v>
      </c>
      <c r="B41" s="24">
        <f>COUNTIF('Support Tracker'!$G$5:$G$204,A41)</f>
        <v>2</v>
      </c>
    </row>
    <row r="42" spans="1:2">
      <c r="A42" s="20" t="str">
        <f>Lists!D13</f>
        <v>Data Privacy &amp; Security</v>
      </c>
      <c r="B42" s="24">
        <f>COUNTIF('Support Tracker'!$G$5:$G$204,A42)</f>
        <v>2</v>
      </c>
    </row>
  </sheetData>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dimension ref="A1:F15"/>
  <sheetViews>
    <sheetView workbookViewId="0"/>
  </sheetViews>
  <sheetFormatPr defaultColWidth="8.6640625" defaultRowHeight="14.4"/>
  <cols>
    <col min="1" max="1" width="20" customWidth="1"/>
    <col min="2" max="2" width="14" customWidth="1"/>
    <col min="3" max="3" width="22" customWidth="1"/>
    <col min="4" max="4" width="32" customWidth="1"/>
    <col min="5" max="5" width="16" customWidth="1"/>
    <col min="6" max="6" width="12" customWidth="1"/>
  </cols>
  <sheetData>
    <row r="1" spans="1:6" ht="17.399999999999999">
      <c r="A1" s="25" t="s">
        <v>317</v>
      </c>
    </row>
    <row r="2" spans="1:6">
      <c r="A2" s="6" t="s">
        <v>318</v>
      </c>
    </row>
    <row r="4" spans="1:6">
      <c r="A4" s="7" t="s">
        <v>45</v>
      </c>
      <c r="B4" s="7" t="s">
        <v>44</v>
      </c>
      <c r="C4" s="7" t="s">
        <v>319</v>
      </c>
      <c r="D4" s="7" t="s">
        <v>42</v>
      </c>
      <c r="E4" s="7" t="s">
        <v>41</v>
      </c>
      <c r="F4" s="7" t="s">
        <v>320</v>
      </c>
    </row>
    <row r="5" spans="1:6">
      <c r="A5" s="20" t="s">
        <v>121</v>
      </c>
      <c r="B5" s="20" t="s">
        <v>151</v>
      </c>
      <c r="C5" s="26">
        <v>1</v>
      </c>
      <c r="D5" s="20" t="s">
        <v>61</v>
      </c>
      <c r="E5" s="20" t="s">
        <v>60</v>
      </c>
      <c r="F5" s="20" t="s">
        <v>87</v>
      </c>
    </row>
    <row r="6" spans="1:6">
      <c r="A6" s="20" t="s">
        <v>112</v>
      </c>
      <c r="B6" s="20" t="s">
        <v>63</v>
      </c>
      <c r="C6" s="26">
        <v>2</v>
      </c>
      <c r="D6" s="20" t="s">
        <v>73</v>
      </c>
      <c r="E6" s="20" t="s">
        <v>133</v>
      </c>
      <c r="F6" s="20" t="s">
        <v>67</v>
      </c>
    </row>
    <row r="7" spans="1:6">
      <c r="A7" s="20" t="s">
        <v>76</v>
      </c>
      <c r="B7" s="20" t="s">
        <v>75</v>
      </c>
      <c r="C7" s="26">
        <v>3</v>
      </c>
      <c r="D7" s="20" t="s">
        <v>93</v>
      </c>
      <c r="E7" s="20" t="s">
        <v>72</v>
      </c>
    </row>
    <row r="8" spans="1:6">
      <c r="A8" s="20" t="s">
        <v>95</v>
      </c>
      <c r="B8" s="20" t="s">
        <v>120</v>
      </c>
      <c r="C8" s="26">
        <v>5</v>
      </c>
      <c r="D8" s="20" t="s">
        <v>103</v>
      </c>
      <c r="E8" s="20" t="s">
        <v>102</v>
      </c>
    </row>
    <row r="9" spans="1:6">
      <c r="A9" s="20" t="s">
        <v>85</v>
      </c>
      <c r="D9" s="20" t="s">
        <v>110</v>
      </c>
      <c r="E9" s="20" t="s">
        <v>126</v>
      </c>
    </row>
    <row r="10" spans="1:6">
      <c r="A10" s="20" t="s">
        <v>64</v>
      </c>
      <c r="D10" s="20" t="s">
        <v>139</v>
      </c>
    </row>
    <row r="11" spans="1:6">
      <c r="A11" s="20" t="s">
        <v>321</v>
      </c>
      <c r="D11" s="20" t="s">
        <v>118</v>
      </c>
    </row>
    <row r="12" spans="1:6">
      <c r="D12" s="20" t="s">
        <v>127</v>
      </c>
    </row>
    <row r="13" spans="1:6">
      <c r="D13" s="20" t="s">
        <v>83</v>
      </c>
    </row>
    <row r="15" spans="1:6">
      <c r="A15" s="6" t="s">
        <v>322</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How to Use</vt:lpstr>
      <vt:lpstr>Support Tracker</vt:lpstr>
      <vt:lpstr>Customer Scenarios</vt:lpstr>
      <vt:lpstr>Dashboard</vt:lpstr>
      <vt:lpstr>Lists</vt:lpstr>
      <vt:lpstr>Category_List</vt:lpstr>
      <vt:lpstr>Channel_List</vt:lpstr>
      <vt:lpstr>Priority_List</vt:lpstr>
      <vt:lpstr>SLA_Days</vt:lpstr>
      <vt:lpstr>Status_List</vt:lpstr>
      <vt:lpstr>YesNo_List</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Satyarth</cp:lastModifiedBy>
  <cp:revision>1</cp:revision>
  <dcterms:created xsi:type="dcterms:W3CDTF">2026-10-10T12:56:52Z</dcterms:created>
  <dcterms:modified xsi:type="dcterms:W3CDTF">2026-10-10T12:57:58Z</dcterms:modified>
  <dc:language>en-US</dc:language>
</cp:coreProperties>
</file>